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/>
  <bookViews>
    <workbookView xWindow="0" yWindow="0" windowWidth="20490" windowHeight="7020" tabRatio="690" activeTab="2"/>
  </bookViews>
  <sheets>
    <sheet name="Калькулятор" sheetId="7" r:id="rId1"/>
    <sheet name="Наряд-заказ" sheetId="25" r:id="rId2"/>
    <sheet name="setup" sheetId="23" r:id="rId3"/>
    <sheet name="Калькулятор себестоимость" sheetId="20" r:id="rId4"/>
    <sheet name="sys" sheetId="16" r:id="rId5"/>
    <sheet name="себ." sheetId="15" r:id="rId6"/>
    <sheet name="цены" sheetId="11" r:id="rId7"/>
    <sheet name="списки" sheetId="9" r:id="rId8"/>
    <sheet name="мойки себестоимость" sheetId="12" r:id="rId9"/>
    <sheet name="мойки для партнеров" sheetId="18" r:id="rId10"/>
    <sheet name="мойки с накруткой" sheetId="13" r:id="rId11"/>
    <sheet name="Материал" sheetId="10" r:id="rId12"/>
  </sheets>
  <functionGroups builtInGroupCount="18"/>
  <definedNames>
    <definedName name="rates" localSheetId="11">Материал!$M$13:$M$154</definedName>
    <definedName name="Бортик">списки!$A$2:$A$3</definedName>
    <definedName name="Вырез_под_мойку">списки!$E$2:$E$5</definedName>
    <definedName name="Кромка">списки!$D$2:$D$8</definedName>
    <definedName name="Материал">Материал!$A$3:$A$67</definedName>
    <definedName name="Мойки" localSheetId="9">'мойки для партнеров'!$B$1:$P$1</definedName>
    <definedName name="Мойки">'мойки с накруткой'!$B$1:$P$1</definedName>
    <definedName name="_xlnm.Print_Area" localSheetId="0">Калькулятор!$A$1:$K$64</definedName>
    <definedName name="_xlnm.Print_Area" localSheetId="3">'Калькулятор себестоимость'!$A$1:$K$43</definedName>
    <definedName name="_xlnm.Print_Area" localSheetId="11">Материал!$A$1:$K$68</definedName>
    <definedName name="_xlnm.Print_Area" localSheetId="1">'Наряд-заказ'!$A$1:$I$57</definedName>
    <definedName name="_xlnm.Print_Area" localSheetId="5">себ.!$A$1:$K$46</definedName>
    <definedName name="Подгиб">списки!$C$2:$C$8</definedName>
    <definedName name="Список_материалов">Материал!$A$30:$A$46</definedName>
    <definedName name="Тип_кромки">списки!$B$2:$B$4</definedName>
  </definedNames>
  <calcPr calcId="162913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40" i="11" l="1"/>
  <c r="F39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9" i="11"/>
  <c r="G30" i="11"/>
  <c r="G31" i="11"/>
  <c r="G34" i="11"/>
  <c r="G35" i="11"/>
  <c r="G36" i="11"/>
  <c r="G37" i="11"/>
  <c r="G38" i="11"/>
  <c r="K29" i="7" l="1"/>
  <c r="K30" i="7"/>
  <c r="K22" i="7"/>
  <c r="I10" i="20"/>
  <c r="J10" i="20" s="1"/>
  <c r="C2" i="16"/>
  <c r="J28" i="7"/>
  <c r="K28" i="7" s="1"/>
  <c r="J27" i="7"/>
  <c r="K27" i="7" s="1"/>
  <c r="J26" i="7"/>
  <c r="K26" i="7" s="1"/>
  <c r="J25" i="7"/>
  <c r="K25" i="7" s="1"/>
  <c r="J24" i="7"/>
  <c r="K24" i="7" s="1"/>
  <c r="J20" i="7"/>
  <c r="K20" i="7" s="1"/>
  <c r="I30" i="15"/>
  <c r="K30" i="15" s="1"/>
  <c r="J30" i="15"/>
  <c r="I31" i="15"/>
  <c r="J31" i="15"/>
  <c r="K31" i="15"/>
  <c r="I29" i="15"/>
  <c r="I23" i="15"/>
  <c r="N13" i="15"/>
  <c r="N14" i="15" s="1"/>
  <c r="N15" i="15" s="1"/>
  <c r="N16" i="15" s="1"/>
  <c r="N24" i="15"/>
  <c r="I28" i="15"/>
  <c r="I27" i="15"/>
  <c r="I26" i="15"/>
  <c r="I25" i="15"/>
  <c r="I29" i="20"/>
  <c r="J29" i="20"/>
  <c r="K29" i="20" s="1"/>
  <c r="I30" i="20"/>
  <c r="J30" i="20"/>
  <c r="K30" i="20"/>
  <c r="I22" i="20"/>
  <c r="I21" i="20"/>
  <c r="I28" i="20"/>
  <c r="I27" i="20"/>
  <c r="I26" i="20"/>
  <c r="I25" i="20"/>
  <c r="I24" i="20"/>
  <c r="L19" i="25"/>
  <c r="N25" i="15"/>
  <c r="D12" i="25"/>
  <c r="D37" i="25" s="1"/>
  <c r="E37" i="25" s="1"/>
  <c r="C17" i="10"/>
  <c r="F17" i="10" s="1"/>
  <c r="C18" i="10"/>
  <c r="F18" i="10"/>
  <c r="C19" i="10"/>
  <c r="F19" i="10" s="1"/>
  <c r="C20" i="10"/>
  <c r="F20" i="10"/>
  <c r="C21" i="10"/>
  <c r="L21" i="10" s="1"/>
  <c r="C22" i="10"/>
  <c r="F22" i="10"/>
  <c r="G22" i="10" s="1"/>
  <c r="C23" i="10"/>
  <c r="F23" i="10" s="1"/>
  <c r="C24" i="10"/>
  <c r="F24" i="10"/>
  <c r="G24" i="10" s="1"/>
  <c r="I24" i="10" s="1"/>
  <c r="C25" i="10"/>
  <c r="L25" i="10" s="1"/>
  <c r="C26" i="10"/>
  <c r="F26" i="10"/>
  <c r="C27" i="10"/>
  <c r="F27" i="10" s="1"/>
  <c r="G27" i="10" s="1"/>
  <c r="C14" i="12"/>
  <c r="C14" i="18" s="1"/>
  <c r="C14" i="13" s="1"/>
  <c r="G14" i="12"/>
  <c r="G14" i="18" s="1"/>
  <c r="J14" i="12"/>
  <c r="J14" i="18" s="1"/>
  <c r="N14" i="12"/>
  <c r="N14" i="18" s="1"/>
  <c r="N14" i="13" s="1"/>
  <c r="C22" i="12"/>
  <c r="C22" i="18" s="1"/>
  <c r="G22" i="12"/>
  <c r="G22" i="18" s="1"/>
  <c r="J22" i="12"/>
  <c r="J22" i="18" s="1"/>
  <c r="N22" i="12"/>
  <c r="N22" i="18" s="1"/>
  <c r="N22" i="13" s="1"/>
  <c r="D24" i="12"/>
  <c r="D24" i="18" s="1"/>
  <c r="D24" i="13" s="1"/>
  <c r="H24" i="12"/>
  <c r="H24" i="18" s="1"/>
  <c r="L24" i="12"/>
  <c r="L24" i="18" s="1"/>
  <c r="C7" i="20"/>
  <c r="L18" i="10"/>
  <c r="L20" i="10"/>
  <c r="L22" i="10"/>
  <c r="L24" i="10"/>
  <c r="L26" i="10"/>
  <c r="L27" i="10"/>
  <c r="C66" i="10"/>
  <c r="C54" i="10"/>
  <c r="F54" i="10" s="1"/>
  <c r="G54" i="10" s="1"/>
  <c r="H54" i="10" s="1"/>
  <c r="J54" i="10" s="1"/>
  <c r="C47" i="10"/>
  <c r="C45" i="10"/>
  <c r="F45" i="10" s="1"/>
  <c r="G45" i="10" s="1"/>
  <c r="H45" i="10" s="1"/>
  <c r="C12" i="10"/>
  <c r="F12" i="10" s="1"/>
  <c r="C11" i="10"/>
  <c r="F11" i="10" s="1"/>
  <c r="C10" i="10"/>
  <c r="F10" i="10" s="1"/>
  <c r="G10" i="10" s="1"/>
  <c r="C9" i="10"/>
  <c r="F9" i="10"/>
  <c r="C8" i="10"/>
  <c r="K40" i="12" s="1"/>
  <c r="K40" i="18" s="1"/>
  <c r="K40" i="13" s="1"/>
  <c r="C7" i="10"/>
  <c r="F7" i="10" s="1"/>
  <c r="G7" i="10" s="1"/>
  <c r="H7" i="10" s="1"/>
  <c r="J7" i="10" s="1"/>
  <c r="C6" i="10"/>
  <c r="C5" i="10"/>
  <c r="F5" i="10"/>
  <c r="C4" i="10"/>
  <c r="F4" i="10" s="1"/>
  <c r="C3" i="10"/>
  <c r="F3" i="10" s="1"/>
  <c r="J28" i="15"/>
  <c r="K28" i="15" s="1"/>
  <c r="J29" i="15"/>
  <c r="J27" i="20"/>
  <c r="J28" i="20"/>
  <c r="K28" i="20" s="1"/>
  <c r="E46" i="25"/>
  <c r="E45" i="25"/>
  <c r="E44" i="25"/>
  <c r="E41" i="25"/>
  <c r="E40" i="25"/>
  <c r="E39" i="25"/>
  <c r="E38" i="25"/>
  <c r="E27" i="25"/>
  <c r="E26" i="25"/>
  <c r="E25" i="25"/>
  <c r="E24" i="25"/>
  <c r="E23" i="25"/>
  <c r="E22" i="25"/>
  <c r="E21" i="25"/>
  <c r="E20" i="25"/>
  <c r="E19" i="25"/>
  <c r="E18" i="25"/>
  <c r="E34" i="12"/>
  <c r="E34" i="18" s="1"/>
  <c r="E34" i="13" s="1"/>
  <c r="C65" i="12"/>
  <c r="C65" i="18" s="1"/>
  <c r="C65" i="13" s="1"/>
  <c r="L6" i="10"/>
  <c r="H65" i="12"/>
  <c r="H65" i="18" s="1"/>
  <c r="L65" i="12"/>
  <c r="L65" i="18" s="1"/>
  <c r="L65" i="13" s="1"/>
  <c r="L66" i="10"/>
  <c r="D65" i="12"/>
  <c r="D65" i="18" s="1"/>
  <c r="F65" i="12"/>
  <c r="F65" i="18" s="1"/>
  <c r="J53" i="12"/>
  <c r="J53" i="18" s="1"/>
  <c r="J53" i="13" s="1"/>
  <c r="B53" i="12"/>
  <c r="B53" i="18" s="1"/>
  <c r="B53" i="13" s="1"/>
  <c r="B34" i="12"/>
  <c r="B34" i="18" s="1"/>
  <c r="I65" i="12"/>
  <c r="I65" i="18" s="1"/>
  <c r="O53" i="12"/>
  <c r="O53" i="18" s="1"/>
  <c r="O53" i="13" s="1"/>
  <c r="G53" i="12"/>
  <c r="G53" i="18" s="1"/>
  <c r="G53" i="13" s="1"/>
  <c r="G34" i="12"/>
  <c r="G34" i="18" s="1"/>
  <c r="L53" i="12"/>
  <c r="L53" i="18" s="1"/>
  <c r="D53" i="12"/>
  <c r="D53" i="18" s="1"/>
  <c r="D53" i="13" s="1"/>
  <c r="H34" i="12"/>
  <c r="H34" i="18" s="1"/>
  <c r="H34" i="13" s="1"/>
  <c r="O65" i="12"/>
  <c r="O65" i="18"/>
  <c r="O65" i="13" s="1"/>
  <c r="K65" i="12"/>
  <c r="K65" i="18" s="1"/>
  <c r="K65" i="13" s="1"/>
  <c r="G65" i="12"/>
  <c r="G65" i="18" s="1"/>
  <c r="G65" i="13" s="1"/>
  <c r="M53" i="12"/>
  <c r="M53" i="18" s="1"/>
  <c r="I53" i="12"/>
  <c r="I53" i="18" s="1"/>
  <c r="I53" i="13" s="1"/>
  <c r="L5" i="10"/>
  <c r="J23" i="15"/>
  <c r="K32" i="20"/>
  <c r="C42" i="18"/>
  <c r="D42" i="18"/>
  <c r="E42" i="18"/>
  <c r="F42" i="18"/>
  <c r="G42" i="18"/>
  <c r="H42" i="18"/>
  <c r="I42" i="18"/>
  <c r="J42" i="18"/>
  <c r="K42" i="18"/>
  <c r="L42" i="18"/>
  <c r="M42" i="18"/>
  <c r="N42" i="18"/>
  <c r="O42" i="18"/>
  <c r="C43" i="18"/>
  <c r="D43" i="18"/>
  <c r="E43" i="18"/>
  <c r="F43" i="18"/>
  <c r="G43" i="18"/>
  <c r="H43" i="18"/>
  <c r="I43" i="18"/>
  <c r="J43" i="18"/>
  <c r="K43" i="18"/>
  <c r="L43" i="18"/>
  <c r="M43" i="18"/>
  <c r="N43" i="18"/>
  <c r="O43" i="18"/>
  <c r="C44" i="18"/>
  <c r="D44" i="18"/>
  <c r="E44" i="18"/>
  <c r="F44" i="18"/>
  <c r="G44" i="18"/>
  <c r="H44" i="18"/>
  <c r="I44" i="18"/>
  <c r="J44" i="18"/>
  <c r="K44" i="18"/>
  <c r="L44" i="18"/>
  <c r="M44" i="18"/>
  <c r="N44" i="18"/>
  <c r="O44" i="18"/>
  <c r="B42" i="18"/>
  <c r="B43" i="18"/>
  <c r="B44" i="18"/>
  <c r="C40" i="12"/>
  <c r="C40" i="18" s="1"/>
  <c r="E40" i="12"/>
  <c r="E40" i="18" s="1"/>
  <c r="I40" i="12"/>
  <c r="I40" i="18" s="1"/>
  <c r="O40" i="12"/>
  <c r="O40" i="18" s="1"/>
  <c r="O40" i="13" s="1"/>
  <c r="C41" i="12"/>
  <c r="C41" i="18" s="1"/>
  <c r="C41" i="13" s="1"/>
  <c r="E41" i="12"/>
  <c r="E41" i="18" s="1"/>
  <c r="E41" i="13" s="1"/>
  <c r="G41" i="12"/>
  <c r="G41" i="18" s="1"/>
  <c r="G41" i="13" s="1"/>
  <c r="I41" i="12"/>
  <c r="I41" i="18" s="1"/>
  <c r="I41" i="13" s="1"/>
  <c r="K41" i="12"/>
  <c r="K41" i="18" s="1"/>
  <c r="K41" i="13" s="1"/>
  <c r="M41" i="12"/>
  <c r="M41" i="18" s="1"/>
  <c r="M41" i="13" s="1"/>
  <c r="O41" i="12"/>
  <c r="O41" i="18" s="1"/>
  <c r="O41" i="13" s="1"/>
  <c r="H35" i="12"/>
  <c r="H35" i="18" s="1"/>
  <c r="H35" i="13" s="1"/>
  <c r="D37" i="12"/>
  <c r="D37" i="18" s="1"/>
  <c r="D37" i="13" s="1"/>
  <c r="H37" i="12"/>
  <c r="H37" i="18" s="1"/>
  <c r="H37" i="13" s="1"/>
  <c r="L37" i="12"/>
  <c r="L37" i="18" s="1"/>
  <c r="B38" i="12"/>
  <c r="B38" i="18" s="1"/>
  <c r="F38" i="12"/>
  <c r="F38" i="18" s="1"/>
  <c r="F38" i="13" s="1"/>
  <c r="G38" i="12"/>
  <c r="G38" i="18" s="1"/>
  <c r="G38" i="13" s="1"/>
  <c r="J38" i="12"/>
  <c r="J38" i="18" s="1"/>
  <c r="K38" i="12"/>
  <c r="K38" i="18" s="1"/>
  <c r="K38" i="13" s="1"/>
  <c r="N38" i="12"/>
  <c r="N38" i="18"/>
  <c r="N38" i="13" s="1"/>
  <c r="O38" i="12"/>
  <c r="O38" i="18" s="1"/>
  <c r="C68" i="10"/>
  <c r="F68" i="10" s="1"/>
  <c r="C67" i="10"/>
  <c r="C66" i="12" s="1"/>
  <c r="C66" i="18" s="1"/>
  <c r="C66" i="13" s="1"/>
  <c r="F67" i="10"/>
  <c r="G67" i="10" s="1"/>
  <c r="C65" i="10"/>
  <c r="F65" i="10" s="1"/>
  <c r="C64" i="10"/>
  <c r="F64" i="10"/>
  <c r="C63" i="10"/>
  <c r="F63" i="10" s="1"/>
  <c r="G63" i="10" s="1"/>
  <c r="H63" i="10" s="1"/>
  <c r="J63" i="10" s="1"/>
  <c r="C62" i="10"/>
  <c r="L62" i="10" s="1"/>
  <c r="F62" i="10"/>
  <c r="G62" i="10" s="1"/>
  <c r="C61" i="10"/>
  <c r="F61" i="10" s="1"/>
  <c r="G61" i="10" s="1"/>
  <c r="H61" i="10" s="1"/>
  <c r="C60" i="10"/>
  <c r="F60" i="10"/>
  <c r="C59" i="10"/>
  <c r="F59" i="10" s="1"/>
  <c r="G59" i="10" s="1"/>
  <c r="C58" i="10"/>
  <c r="C57" i="12" s="1"/>
  <c r="C57" i="18" s="1"/>
  <c r="C57" i="13" s="1"/>
  <c r="F58" i="10"/>
  <c r="G58" i="10" s="1"/>
  <c r="C57" i="10"/>
  <c r="F57" i="10" s="1"/>
  <c r="C56" i="10"/>
  <c r="F56" i="10"/>
  <c r="G56" i="10" s="1"/>
  <c r="H56" i="10" s="1"/>
  <c r="C55" i="10"/>
  <c r="F55" i="10" s="1"/>
  <c r="G55" i="10" s="1"/>
  <c r="C53" i="10"/>
  <c r="C52" i="12" s="1"/>
  <c r="C52" i="18" s="1"/>
  <c r="F53" i="10"/>
  <c r="G53" i="10" s="1"/>
  <c r="C52" i="10"/>
  <c r="F52" i="10" s="1"/>
  <c r="G52" i="10" s="1"/>
  <c r="H52" i="10" s="1"/>
  <c r="C51" i="10"/>
  <c r="F51" i="10"/>
  <c r="C50" i="10"/>
  <c r="F50" i="10" s="1"/>
  <c r="G50" i="10" s="1"/>
  <c r="H50" i="10" s="1"/>
  <c r="J50" i="10" s="1"/>
  <c r="C49" i="10"/>
  <c r="C48" i="12" s="1"/>
  <c r="C48" i="18" s="1"/>
  <c r="F49" i="10"/>
  <c r="G49" i="10" s="1"/>
  <c r="H49" i="10" s="1"/>
  <c r="J49" i="10" s="1"/>
  <c r="C48" i="10"/>
  <c r="F48" i="10" s="1"/>
  <c r="C46" i="10"/>
  <c r="F45" i="12" s="1"/>
  <c r="F45" i="18" s="1"/>
  <c r="F45" i="13" s="1"/>
  <c r="F46" i="10"/>
  <c r="G46" i="10" s="1"/>
  <c r="H46" i="10" s="1"/>
  <c r="J46" i="10" s="1"/>
  <c r="C44" i="10"/>
  <c r="F44" i="10" s="1"/>
  <c r="C43" i="10"/>
  <c r="L43" i="10" s="1"/>
  <c r="F43" i="10"/>
  <c r="G43" i="10" s="1"/>
  <c r="H43" i="10" s="1"/>
  <c r="J43" i="10" s="1"/>
  <c r="C42" i="10"/>
  <c r="F42" i="10" s="1"/>
  <c r="C41" i="10"/>
  <c r="F41" i="10"/>
  <c r="C40" i="10"/>
  <c r="F40" i="10" s="1"/>
  <c r="G40" i="10" s="1"/>
  <c r="C39" i="10"/>
  <c r="C28" i="12" s="1"/>
  <c r="C28" i="18" s="1"/>
  <c r="F39" i="10"/>
  <c r="G39" i="10" s="1"/>
  <c r="I39" i="10" s="1"/>
  <c r="C38" i="10"/>
  <c r="F38" i="10" s="1"/>
  <c r="C37" i="10"/>
  <c r="F37" i="10"/>
  <c r="C36" i="10"/>
  <c r="F36" i="10" s="1"/>
  <c r="G36" i="10" s="1"/>
  <c r="C32" i="10"/>
  <c r="F32" i="10"/>
  <c r="G32" i="10" s="1"/>
  <c r="H32" i="10" s="1"/>
  <c r="J32" i="10" s="1"/>
  <c r="C34" i="10"/>
  <c r="F34" i="10" s="1"/>
  <c r="C35" i="10"/>
  <c r="L35" i="10" s="1"/>
  <c r="F35" i="10"/>
  <c r="C33" i="10"/>
  <c r="F33" i="10" s="1"/>
  <c r="C31" i="10"/>
  <c r="L31" i="10" s="1"/>
  <c r="F31" i="10"/>
  <c r="C30" i="10"/>
  <c r="F30" i="10" s="1"/>
  <c r="C29" i="10"/>
  <c r="L29" i="10" s="1"/>
  <c r="F29" i="10"/>
  <c r="C28" i="10"/>
  <c r="F28" i="10" s="1"/>
  <c r="G28" i="10" s="1"/>
  <c r="C23" i="12"/>
  <c r="C23" i="18" s="1"/>
  <c r="E21" i="12"/>
  <c r="E21" i="18" s="1"/>
  <c r="E21" i="13" s="1"/>
  <c r="C20" i="12"/>
  <c r="C20" i="18" s="1"/>
  <c r="C20" i="13" s="1"/>
  <c r="E19" i="12"/>
  <c r="E19" i="18" s="1"/>
  <c r="E19" i="13" s="1"/>
  <c r="E17" i="12"/>
  <c r="E17" i="18"/>
  <c r="E17" i="13" s="1"/>
  <c r="E15" i="12"/>
  <c r="E15" i="18" s="1"/>
  <c r="E15" i="13" s="1"/>
  <c r="C16" i="10"/>
  <c r="F16" i="10" s="1"/>
  <c r="G16" i="10" s="1"/>
  <c r="C15" i="10"/>
  <c r="F15" i="10" s="1"/>
  <c r="C14" i="10"/>
  <c r="F14" i="10" s="1"/>
  <c r="G14" i="10" s="1"/>
  <c r="H14" i="10" s="1"/>
  <c r="J14" i="10" s="1"/>
  <c r="C13" i="10"/>
  <c r="F13" i="10" s="1"/>
  <c r="G9" i="10"/>
  <c r="I9" i="10" s="1"/>
  <c r="E38" i="12"/>
  <c r="E38" i="18"/>
  <c r="E38" i="13" s="1"/>
  <c r="C37" i="12"/>
  <c r="C37" i="18" s="1"/>
  <c r="C35" i="12"/>
  <c r="C35" i="18" s="1"/>
  <c r="C35" i="13" s="1"/>
  <c r="J10" i="7"/>
  <c r="L15" i="10"/>
  <c r="E25" i="12"/>
  <c r="E25" i="18" s="1"/>
  <c r="L28" i="10"/>
  <c r="E29" i="12"/>
  <c r="E29" i="18" s="1"/>
  <c r="L40" i="10"/>
  <c r="E33" i="12"/>
  <c r="E33" i="18" s="1"/>
  <c r="E33" i="13" s="1"/>
  <c r="L44" i="10"/>
  <c r="E49" i="12"/>
  <c r="E49" i="18" s="1"/>
  <c r="L50" i="10"/>
  <c r="E67" i="12"/>
  <c r="E67" i="18" s="1"/>
  <c r="E67" i="13" s="1"/>
  <c r="L68" i="10"/>
  <c r="C7" i="12"/>
  <c r="C7" i="18" s="1"/>
  <c r="L39" i="10"/>
  <c r="C32" i="12"/>
  <c r="C32" i="18" s="1"/>
  <c r="C32" i="13" s="1"/>
  <c r="L49" i="10"/>
  <c r="E27" i="12"/>
  <c r="E27" i="18" s="1"/>
  <c r="L30" i="10"/>
  <c r="E31" i="12"/>
  <c r="E31" i="18" s="1"/>
  <c r="E31" i="13" s="1"/>
  <c r="L42" i="10"/>
  <c r="E47" i="12"/>
  <c r="E47" i="18" s="1"/>
  <c r="E47" i="13" s="1"/>
  <c r="L48" i="10"/>
  <c r="E51" i="12"/>
  <c r="E51" i="18" s="1"/>
  <c r="L52" i="10"/>
  <c r="C26" i="12"/>
  <c r="C26" i="18" s="1"/>
  <c r="C30" i="12"/>
  <c r="C30" i="18" s="1"/>
  <c r="C30" i="13" s="1"/>
  <c r="L41" i="10"/>
  <c r="C46" i="12"/>
  <c r="C46" i="18" s="1"/>
  <c r="C46" i="13" s="1"/>
  <c r="N45" i="12"/>
  <c r="N45" i="18" s="1"/>
  <c r="N45" i="13" s="1"/>
  <c r="J45" i="12"/>
  <c r="J45" i="18" s="1"/>
  <c r="B45" i="12"/>
  <c r="B45" i="18" s="1"/>
  <c r="B45" i="13" s="1"/>
  <c r="L46" i="10"/>
  <c r="K45" i="12"/>
  <c r="K45" i="18" s="1"/>
  <c r="G45" i="12"/>
  <c r="G45" i="18" s="1"/>
  <c r="G45" i="13" s="1"/>
  <c r="C45" i="12"/>
  <c r="C45" i="18" s="1"/>
  <c r="C45" i="13" s="1"/>
  <c r="H45" i="12"/>
  <c r="H45" i="18" s="1"/>
  <c r="H45" i="13" s="1"/>
  <c r="D45" i="12"/>
  <c r="D45" i="18" s="1"/>
  <c r="M45" i="12"/>
  <c r="M45" i="18" s="1"/>
  <c r="M45" i="13" s="1"/>
  <c r="E45" i="12"/>
  <c r="E45" i="18" s="1"/>
  <c r="E45" i="13" s="1"/>
  <c r="C50" i="12"/>
  <c r="C50" i="18" s="1"/>
  <c r="C50" i="13" s="1"/>
  <c r="L51" i="10"/>
  <c r="L67" i="10"/>
  <c r="D64" i="12"/>
  <c r="D64" i="18" s="1"/>
  <c r="D64" i="13" s="1"/>
  <c r="L65" i="10"/>
  <c r="C63" i="12"/>
  <c r="C63" i="18" s="1"/>
  <c r="L64" i="10"/>
  <c r="E62" i="12"/>
  <c r="E62" i="18" s="1"/>
  <c r="E62" i="13" s="1"/>
  <c r="L63" i="10"/>
  <c r="C61" i="12"/>
  <c r="C61" i="18" s="1"/>
  <c r="E60" i="12"/>
  <c r="E60" i="18" s="1"/>
  <c r="E60" i="13" s="1"/>
  <c r="L61" i="10"/>
  <c r="C59" i="12"/>
  <c r="C59" i="18" s="1"/>
  <c r="C59" i="13" s="1"/>
  <c r="L60" i="10"/>
  <c r="E58" i="12"/>
  <c r="E58" i="18" s="1"/>
  <c r="L59" i="10"/>
  <c r="L58" i="10"/>
  <c r="E56" i="12"/>
  <c r="E56" i="18" s="1"/>
  <c r="L57" i="10"/>
  <c r="C55" i="12"/>
  <c r="C55" i="18" s="1"/>
  <c r="C55" i="13" s="1"/>
  <c r="L56" i="10"/>
  <c r="E54" i="12"/>
  <c r="E54" i="18" s="1"/>
  <c r="L55" i="10"/>
  <c r="E8" i="12"/>
  <c r="E8" i="18" s="1"/>
  <c r="E8" i="13" s="1"/>
  <c r="L33" i="10"/>
  <c r="E10" i="12"/>
  <c r="E10" i="18" s="1"/>
  <c r="L36" i="10"/>
  <c r="E6" i="12"/>
  <c r="E6" i="18" s="1"/>
  <c r="E6" i="13" s="1"/>
  <c r="L32" i="10"/>
  <c r="C9" i="12"/>
  <c r="C9" i="18" s="1"/>
  <c r="L34" i="10"/>
  <c r="C13" i="12"/>
  <c r="C13" i="18" s="1"/>
  <c r="C13" i="13" s="1"/>
  <c r="L38" i="10"/>
  <c r="C11" i="12"/>
  <c r="C11" i="18" s="1"/>
  <c r="E12" i="12"/>
  <c r="E12" i="18" s="1"/>
  <c r="L37" i="10"/>
  <c r="L16" i="10"/>
  <c r="L9" i="10"/>
  <c r="E4" i="12"/>
  <c r="E4" i="18" s="1"/>
  <c r="E4" i="13" s="1"/>
  <c r="C3" i="12"/>
  <c r="C3" i="18" s="1"/>
  <c r="L12" i="10"/>
  <c r="J56" i="12"/>
  <c r="J56" i="18" s="1"/>
  <c r="J56" i="13" s="1"/>
  <c r="N21" i="12"/>
  <c r="N21" i="18" s="1"/>
  <c r="J9" i="12"/>
  <c r="J9" i="18" s="1"/>
  <c r="J9" i="13" s="1"/>
  <c r="E64" i="12"/>
  <c r="E64" i="18" s="1"/>
  <c r="E64" i="13" s="1"/>
  <c r="F60" i="12"/>
  <c r="F60" i="18" s="1"/>
  <c r="B47" i="12"/>
  <c r="B47" i="18" s="1"/>
  <c r="B47" i="13" s="1"/>
  <c r="F13" i="12"/>
  <c r="F13" i="18" s="1"/>
  <c r="F13" i="13" s="1"/>
  <c r="M64" i="12"/>
  <c r="M64" i="18" s="1"/>
  <c r="M64" i="13" s="1"/>
  <c r="N60" i="12"/>
  <c r="N60" i="18" s="1"/>
  <c r="F51" i="12"/>
  <c r="F51" i="18" s="1"/>
  <c r="F51" i="13" s="1"/>
  <c r="N13" i="12"/>
  <c r="N13" i="18" s="1"/>
  <c r="N13" i="13" s="1"/>
  <c r="F4" i="12"/>
  <c r="F4" i="18" s="1"/>
  <c r="F4" i="13" s="1"/>
  <c r="B64" i="12"/>
  <c r="B64" i="18" s="1"/>
  <c r="B56" i="12"/>
  <c r="B56" i="18" s="1"/>
  <c r="B56" i="13" s="1"/>
  <c r="J17" i="12"/>
  <c r="J17" i="18" s="1"/>
  <c r="B9" i="12"/>
  <c r="B9" i="18" s="1"/>
  <c r="B9" i="13" s="1"/>
  <c r="L49" i="12"/>
  <c r="L49" i="18" s="1"/>
  <c r="L49" i="13" s="1"/>
  <c r="H33" i="12"/>
  <c r="H33" i="18" s="1"/>
  <c r="H33" i="13" s="1"/>
  <c r="H25" i="12"/>
  <c r="H25" i="18" s="1"/>
  <c r="H62" i="12"/>
  <c r="H62" i="18" s="1"/>
  <c r="H62" i="13" s="1"/>
  <c r="D58" i="12"/>
  <c r="D58" i="18" s="1"/>
  <c r="N51" i="12"/>
  <c r="N51" i="18" s="1"/>
  <c r="N51" i="13" s="1"/>
  <c r="J47" i="12"/>
  <c r="J47" i="18" s="1"/>
  <c r="J47" i="13" s="1"/>
  <c r="F31" i="12"/>
  <c r="F31" i="18" s="1"/>
  <c r="F31" i="13" s="1"/>
  <c r="B27" i="12"/>
  <c r="B27" i="18" s="1"/>
  <c r="L19" i="12"/>
  <c r="L19" i="18" s="1"/>
  <c r="L19" i="13" s="1"/>
  <c r="H15" i="12"/>
  <c r="H15" i="18" s="1"/>
  <c r="D10" i="12"/>
  <c r="D10" i="18" s="1"/>
  <c r="D10" i="13" s="1"/>
  <c r="N4" i="12"/>
  <c r="N4" i="18" s="1"/>
  <c r="N4" i="13" s="1"/>
  <c r="B67" i="12"/>
  <c r="B67" i="18" s="1"/>
  <c r="B67" i="13" s="1"/>
  <c r="D29" i="12"/>
  <c r="D29" i="18" s="1"/>
  <c r="D29" i="13" s="1"/>
  <c r="L2" i="12"/>
  <c r="L2" i="18" s="1"/>
  <c r="L2" i="13" s="1"/>
  <c r="L29" i="12"/>
  <c r="L29" i="18" s="1"/>
  <c r="L29" i="13" s="1"/>
  <c r="D19" i="12"/>
  <c r="D19" i="18" s="1"/>
  <c r="D19" i="13" s="1"/>
  <c r="L58" i="12"/>
  <c r="L58" i="18" s="1"/>
  <c r="H54" i="12"/>
  <c r="H54" i="18" s="1"/>
  <c r="H54" i="13" s="1"/>
  <c r="D49" i="12"/>
  <c r="D49" i="18" s="1"/>
  <c r="N31" i="12"/>
  <c r="N31" i="18" s="1"/>
  <c r="N31" i="13" s="1"/>
  <c r="J27" i="12"/>
  <c r="J27" i="18" s="1"/>
  <c r="F21" i="12"/>
  <c r="F21" i="18" s="1"/>
  <c r="F21" i="13" s="1"/>
  <c r="B17" i="12"/>
  <c r="B17" i="18" s="1"/>
  <c r="L10" i="12"/>
  <c r="L10" i="18" s="1"/>
  <c r="H8" i="12"/>
  <c r="H8" i="18" s="1"/>
  <c r="D2" i="12"/>
  <c r="D2" i="18" s="1"/>
  <c r="J67" i="12"/>
  <c r="J67" i="18" s="1"/>
  <c r="L62" i="12"/>
  <c r="L62" i="18" s="1"/>
  <c r="L62" i="13" s="1"/>
  <c r="J60" i="12"/>
  <c r="J60" i="18" s="1"/>
  <c r="H58" i="12"/>
  <c r="H58" i="18" s="1"/>
  <c r="H58" i="13" s="1"/>
  <c r="F56" i="12"/>
  <c r="F56" i="18" s="1"/>
  <c r="D54" i="12"/>
  <c r="D54" i="18" s="1"/>
  <c r="D54" i="13" s="1"/>
  <c r="B51" i="12"/>
  <c r="B51" i="18" s="1"/>
  <c r="N47" i="12"/>
  <c r="N47" i="18" s="1"/>
  <c r="N47" i="13" s="1"/>
  <c r="L33" i="12"/>
  <c r="L33" i="18" s="1"/>
  <c r="J31" i="12"/>
  <c r="J31" i="18" s="1"/>
  <c r="H29" i="12"/>
  <c r="H29" i="18" s="1"/>
  <c r="F27" i="12"/>
  <c r="F27" i="18" s="1"/>
  <c r="F27" i="13" s="1"/>
  <c r="D25" i="12"/>
  <c r="D25" i="18" s="1"/>
  <c r="D25" i="13" s="1"/>
  <c r="B21" i="12"/>
  <c r="B21" i="18" s="1"/>
  <c r="B21" i="13" s="1"/>
  <c r="N17" i="12"/>
  <c r="N17" i="18" s="1"/>
  <c r="N17" i="13" s="1"/>
  <c r="L15" i="12"/>
  <c r="L15" i="18" s="1"/>
  <c r="L15" i="13" s="1"/>
  <c r="J13" i="12"/>
  <c r="J13" i="18" s="1"/>
  <c r="H10" i="12"/>
  <c r="H10" i="18" s="1"/>
  <c r="F9" i="12"/>
  <c r="F9" i="18" s="1"/>
  <c r="F9" i="13" s="1"/>
  <c r="D8" i="12"/>
  <c r="D8" i="18" s="1"/>
  <c r="D8" i="13" s="1"/>
  <c r="B4" i="12"/>
  <c r="B4" i="18" s="1"/>
  <c r="N67" i="12"/>
  <c r="N67" i="18" s="1"/>
  <c r="D62" i="12"/>
  <c r="D62" i="18" s="1"/>
  <c r="B60" i="12"/>
  <c r="B60" i="18" s="1"/>
  <c r="B60" i="13" s="1"/>
  <c r="N56" i="12"/>
  <c r="N56" i="18" s="1"/>
  <c r="L54" i="12"/>
  <c r="L54" i="18" s="1"/>
  <c r="J51" i="12"/>
  <c r="J51" i="18" s="1"/>
  <c r="H49" i="12"/>
  <c r="H49" i="18" s="1"/>
  <c r="H49" i="13" s="1"/>
  <c r="F47" i="12"/>
  <c r="F47" i="18" s="1"/>
  <c r="F47" i="13" s="1"/>
  <c r="D33" i="12"/>
  <c r="D33" i="18" s="1"/>
  <c r="D33" i="13" s="1"/>
  <c r="B31" i="12"/>
  <c r="B31" i="18" s="1"/>
  <c r="B31" i="13" s="1"/>
  <c r="N27" i="12"/>
  <c r="N27" i="18" s="1"/>
  <c r="L25" i="12"/>
  <c r="L25" i="18" s="1"/>
  <c r="J21" i="12"/>
  <c r="J21" i="18" s="1"/>
  <c r="J21" i="13" s="1"/>
  <c r="H19" i="12"/>
  <c r="H19" i="18" s="1"/>
  <c r="H19" i="13" s="1"/>
  <c r="F17" i="12"/>
  <c r="F17" i="18" s="1"/>
  <c r="F17" i="13" s="1"/>
  <c r="D15" i="12"/>
  <c r="D15" i="18" s="1"/>
  <c r="B13" i="12"/>
  <c r="B13" i="18" s="1"/>
  <c r="N9" i="12"/>
  <c r="N9" i="18" s="1"/>
  <c r="L8" i="12"/>
  <c r="L8" i="18" s="1"/>
  <c r="L8" i="13" s="1"/>
  <c r="J4" i="12"/>
  <c r="J4" i="18" s="1"/>
  <c r="H2" i="12"/>
  <c r="H2" i="18" s="1"/>
  <c r="I64" i="12"/>
  <c r="I64" i="18" s="1"/>
  <c r="F67" i="12"/>
  <c r="F67" i="18" s="1"/>
  <c r="F67" i="13" s="1"/>
  <c r="N62" i="12"/>
  <c r="N62" i="18" s="1"/>
  <c r="F62" i="12"/>
  <c r="F62" i="18" s="1"/>
  <c r="F62" i="13" s="1"/>
  <c r="L60" i="12"/>
  <c r="L60" i="18" s="1"/>
  <c r="L60" i="13" s="1"/>
  <c r="D60" i="12"/>
  <c r="D60" i="18" s="1"/>
  <c r="D60" i="13" s="1"/>
  <c r="J58" i="12"/>
  <c r="J58" i="18" s="1"/>
  <c r="B58" i="12"/>
  <c r="B58" i="18" s="1"/>
  <c r="B58" i="13" s="1"/>
  <c r="H56" i="12"/>
  <c r="H56" i="18" s="1"/>
  <c r="H56" i="13" s="1"/>
  <c r="N54" i="12"/>
  <c r="N54" i="18" s="1"/>
  <c r="N54" i="13" s="1"/>
  <c r="F54" i="12"/>
  <c r="F54" i="18" s="1"/>
  <c r="L51" i="12"/>
  <c r="L51" i="18" s="1"/>
  <c r="L51" i="13" s="1"/>
  <c r="D51" i="12"/>
  <c r="D51" i="18" s="1"/>
  <c r="D51" i="13" s="1"/>
  <c r="J49" i="12"/>
  <c r="J49" i="18" s="1"/>
  <c r="J49" i="13" s="1"/>
  <c r="B49" i="12"/>
  <c r="B49" i="18" s="1"/>
  <c r="H47" i="12"/>
  <c r="H47" i="18" s="1"/>
  <c r="H47" i="13" s="1"/>
  <c r="N33" i="12"/>
  <c r="N33" i="18" s="1"/>
  <c r="N33" i="13" s="1"/>
  <c r="F33" i="12"/>
  <c r="F33" i="18" s="1"/>
  <c r="L31" i="12"/>
  <c r="L31" i="18" s="1"/>
  <c r="D31" i="12"/>
  <c r="D31" i="18" s="1"/>
  <c r="J29" i="12"/>
  <c r="J29" i="18" s="1"/>
  <c r="J29" i="13" s="1"/>
  <c r="B29" i="12"/>
  <c r="B29" i="18" s="1"/>
  <c r="H27" i="12"/>
  <c r="H27" i="18" s="1"/>
  <c r="N25" i="12"/>
  <c r="N25" i="18" s="1"/>
  <c r="N25" i="13" s="1"/>
  <c r="F25" i="12"/>
  <c r="F25" i="18" s="1"/>
  <c r="F25" i="13" s="1"/>
  <c r="L21" i="12"/>
  <c r="L21" i="18" s="1"/>
  <c r="D21" i="12"/>
  <c r="D21" i="18" s="1"/>
  <c r="D21" i="13" s="1"/>
  <c r="J19" i="12"/>
  <c r="J19" i="18" s="1"/>
  <c r="J19" i="13" s="1"/>
  <c r="B19" i="12"/>
  <c r="B19" i="18" s="1"/>
  <c r="B19" i="13" s="1"/>
  <c r="H17" i="12"/>
  <c r="H17" i="18" s="1"/>
  <c r="N15" i="12"/>
  <c r="N15" i="18" s="1"/>
  <c r="N15" i="13" s="1"/>
  <c r="F15" i="12"/>
  <c r="F15" i="18" s="1"/>
  <c r="F15" i="13" s="1"/>
  <c r="L13" i="12"/>
  <c r="L13" i="18" s="1"/>
  <c r="L13" i="13" s="1"/>
  <c r="D13" i="12"/>
  <c r="D13" i="18" s="1"/>
  <c r="D13" i="13" s="1"/>
  <c r="J10" i="12"/>
  <c r="J10" i="18" s="1"/>
  <c r="J10" i="13" s="1"/>
  <c r="B10" i="12"/>
  <c r="B10" i="18" s="1"/>
  <c r="B10" i="13" s="1"/>
  <c r="H9" i="12"/>
  <c r="H9" i="18" s="1"/>
  <c r="H9" i="13" s="1"/>
  <c r="N8" i="12"/>
  <c r="N8" i="18" s="1"/>
  <c r="F8" i="12"/>
  <c r="F8" i="18" s="1"/>
  <c r="F8" i="13" s="1"/>
  <c r="L4" i="12"/>
  <c r="L4" i="18" s="1"/>
  <c r="L4" i="13" s="1"/>
  <c r="D4" i="12"/>
  <c r="D4" i="18" s="1"/>
  <c r="D4" i="13" s="1"/>
  <c r="J2" i="12"/>
  <c r="J2" i="18" s="1"/>
  <c r="J2" i="13" s="1"/>
  <c r="K64" i="12"/>
  <c r="K64" i="18" s="1"/>
  <c r="C64" i="12"/>
  <c r="C64" i="18" s="1"/>
  <c r="C64" i="13" s="1"/>
  <c r="H67" i="12"/>
  <c r="H67" i="18" s="1"/>
  <c r="H67" i="13" s="1"/>
  <c r="J62" i="12"/>
  <c r="J62" i="18" s="1"/>
  <c r="B62" i="12"/>
  <c r="B62" i="18" s="1"/>
  <c r="H60" i="12"/>
  <c r="H60" i="18" s="1"/>
  <c r="H60" i="13" s="1"/>
  <c r="N58" i="12"/>
  <c r="N58" i="18" s="1"/>
  <c r="F58" i="12"/>
  <c r="F58" i="18" s="1"/>
  <c r="L56" i="12"/>
  <c r="L56" i="18" s="1"/>
  <c r="D56" i="12"/>
  <c r="D56" i="18" s="1"/>
  <c r="D56" i="13" s="1"/>
  <c r="J54" i="12"/>
  <c r="J54" i="18" s="1"/>
  <c r="J54" i="13" s="1"/>
  <c r="B54" i="12"/>
  <c r="B54" i="18" s="1"/>
  <c r="H51" i="12"/>
  <c r="H51" i="18" s="1"/>
  <c r="N49" i="12"/>
  <c r="N49" i="18" s="1"/>
  <c r="F49" i="12"/>
  <c r="F49" i="18" s="1"/>
  <c r="F49" i="13" s="1"/>
  <c r="L47" i="12"/>
  <c r="L47" i="18" s="1"/>
  <c r="D47" i="12"/>
  <c r="D47" i="18" s="1"/>
  <c r="J33" i="12"/>
  <c r="J33" i="18" s="1"/>
  <c r="B33" i="12"/>
  <c r="B33" i="18" s="1"/>
  <c r="B33" i="13" s="1"/>
  <c r="H31" i="12"/>
  <c r="H31" i="18" s="1"/>
  <c r="N29" i="12"/>
  <c r="N29" i="18" s="1"/>
  <c r="F29" i="12"/>
  <c r="F29" i="18" s="1"/>
  <c r="F29" i="13" s="1"/>
  <c r="L27" i="12"/>
  <c r="L27" i="18" s="1"/>
  <c r="L27" i="13" s="1"/>
  <c r="D27" i="12"/>
  <c r="D27" i="18" s="1"/>
  <c r="D27" i="13" s="1"/>
  <c r="J25" i="12"/>
  <c r="J25" i="18" s="1"/>
  <c r="B25" i="12"/>
  <c r="B25" i="18" s="1"/>
  <c r="B25" i="13" s="1"/>
  <c r="H21" i="12"/>
  <c r="H21" i="18" s="1"/>
  <c r="H21" i="13" s="1"/>
  <c r="N19" i="12"/>
  <c r="N19" i="18" s="1"/>
  <c r="N19" i="13" s="1"/>
  <c r="F19" i="12"/>
  <c r="F19" i="18" s="1"/>
  <c r="L17" i="12"/>
  <c r="L17" i="18" s="1"/>
  <c r="L17" i="13" s="1"/>
  <c r="D17" i="12"/>
  <c r="D17" i="18" s="1"/>
  <c r="D17" i="13" s="1"/>
  <c r="J15" i="12"/>
  <c r="J15" i="18" s="1"/>
  <c r="J15" i="13" s="1"/>
  <c r="B15" i="12"/>
  <c r="B15" i="18" s="1"/>
  <c r="H13" i="12"/>
  <c r="H13" i="18" s="1"/>
  <c r="H13" i="13" s="1"/>
  <c r="N10" i="12"/>
  <c r="N10" i="18" s="1"/>
  <c r="N10" i="13" s="1"/>
  <c r="F10" i="12"/>
  <c r="F10" i="18" s="1"/>
  <c r="F10" i="13" s="1"/>
  <c r="L9" i="12"/>
  <c r="L9" i="18" s="1"/>
  <c r="L9" i="13" s="1"/>
  <c r="D9" i="12"/>
  <c r="D9" i="18" s="1"/>
  <c r="D9" i="13" s="1"/>
  <c r="J8" i="12"/>
  <c r="J8" i="18" s="1"/>
  <c r="J8" i="13" s="1"/>
  <c r="B8" i="12"/>
  <c r="B8" i="18" s="1"/>
  <c r="B8" i="13" s="1"/>
  <c r="H4" i="12"/>
  <c r="H4" i="18" s="1"/>
  <c r="N2" i="12"/>
  <c r="N2" i="18" s="1"/>
  <c r="N2" i="13" s="1"/>
  <c r="F2" i="12"/>
  <c r="F2" i="18" s="1"/>
  <c r="O64" i="12"/>
  <c r="O64" i="18" s="1"/>
  <c r="O64" i="13" s="1"/>
  <c r="G64" i="12"/>
  <c r="G64" i="18" s="1"/>
  <c r="L67" i="12"/>
  <c r="L67" i="18" s="1"/>
  <c r="L67" i="13" s="1"/>
  <c r="D67" i="12"/>
  <c r="D67" i="18" s="1"/>
  <c r="L63" i="12"/>
  <c r="L63" i="18" s="1"/>
  <c r="H63" i="12"/>
  <c r="H63" i="18" s="1"/>
  <c r="D63" i="12"/>
  <c r="D63" i="18" s="1"/>
  <c r="D63" i="13" s="1"/>
  <c r="L61" i="12"/>
  <c r="L61" i="18" s="1"/>
  <c r="L61" i="13" s="1"/>
  <c r="H61" i="12"/>
  <c r="H61" i="18" s="1"/>
  <c r="D61" i="12"/>
  <c r="D61" i="18" s="1"/>
  <c r="L59" i="12"/>
  <c r="L59" i="18" s="1"/>
  <c r="H59" i="12"/>
  <c r="H59" i="18" s="1"/>
  <c r="D59" i="12"/>
  <c r="D59" i="18"/>
  <c r="L57" i="12"/>
  <c r="L57" i="18" s="1"/>
  <c r="L57" i="13" s="1"/>
  <c r="H57" i="12"/>
  <c r="H57" i="18" s="1"/>
  <c r="D57" i="12"/>
  <c r="D57" i="18" s="1"/>
  <c r="L55" i="12"/>
  <c r="L55" i="18" s="1"/>
  <c r="L55" i="13" s="1"/>
  <c r="H55" i="12"/>
  <c r="H55" i="18" s="1"/>
  <c r="H55" i="13" s="1"/>
  <c r="D55" i="12"/>
  <c r="D55" i="18" s="1"/>
  <c r="L52" i="12"/>
  <c r="L52" i="18" s="1"/>
  <c r="L52" i="13" s="1"/>
  <c r="H52" i="12"/>
  <c r="H52" i="18" s="1"/>
  <c r="D52" i="12"/>
  <c r="D52" i="18" s="1"/>
  <c r="D52" i="13" s="1"/>
  <c r="L50" i="12"/>
  <c r="L50" i="18" s="1"/>
  <c r="L50" i="13" s="1"/>
  <c r="H50" i="12"/>
  <c r="H50" i="18" s="1"/>
  <c r="H50" i="13" s="1"/>
  <c r="D50" i="12"/>
  <c r="D50" i="18" s="1"/>
  <c r="L48" i="12"/>
  <c r="L48" i="18" s="1"/>
  <c r="L48" i="13" s="1"/>
  <c r="H48" i="12"/>
  <c r="H48" i="18" s="1"/>
  <c r="D48" i="12"/>
  <c r="D48" i="18" s="1"/>
  <c r="D48" i="13" s="1"/>
  <c r="L46" i="12"/>
  <c r="L46" i="18" s="1"/>
  <c r="L46" i="13" s="1"/>
  <c r="H46" i="12"/>
  <c r="H46" i="18" s="1"/>
  <c r="H46" i="13" s="1"/>
  <c r="D46" i="12"/>
  <c r="D46" i="18" s="1"/>
  <c r="D46" i="13" s="1"/>
  <c r="L32" i="12"/>
  <c r="L32" i="18" s="1"/>
  <c r="L32" i="13" s="1"/>
  <c r="H32" i="12"/>
  <c r="H32" i="18" s="1"/>
  <c r="H32" i="13" s="1"/>
  <c r="D32" i="12"/>
  <c r="D32" i="18" s="1"/>
  <c r="D32" i="13" s="1"/>
  <c r="L30" i="12"/>
  <c r="L30" i="18" s="1"/>
  <c r="L30" i="13" s="1"/>
  <c r="H30" i="12"/>
  <c r="H30" i="18" s="1"/>
  <c r="H30" i="13" s="1"/>
  <c r="D30" i="12"/>
  <c r="D30" i="18" s="1"/>
  <c r="L28" i="12"/>
  <c r="L28" i="18" s="1"/>
  <c r="L28" i="13" s="1"/>
  <c r="H28" i="12"/>
  <c r="H28" i="18" s="1"/>
  <c r="H28" i="13" s="1"/>
  <c r="D28" i="12"/>
  <c r="D28" i="18" s="1"/>
  <c r="L26" i="12"/>
  <c r="L26" i="18" s="1"/>
  <c r="H26" i="12"/>
  <c r="H26" i="18" s="1"/>
  <c r="H26" i="13" s="1"/>
  <c r="D26" i="12"/>
  <c r="D26" i="18" s="1"/>
  <c r="D26" i="13" s="1"/>
  <c r="L23" i="12"/>
  <c r="L23" i="18" s="1"/>
  <c r="L23" i="13" s="1"/>
  <c r="H23" i="12"/>
  <c r="H23" i="18" s="1"/>
  <c r="D23" i="12"/>
  <c r="D23" i="18" s="1"/>
  <c r="D23" i="13" s="1"/>
  <c r="L20" i="12"/>
  <c r="L20" i="18" s="1"/>
  <c r="L20" i="13" s="1"/>
  <c r="H20" i="12"/>
  <c r="H20" i="18" s="1"/>
  <c r="H20" i="13" s="1"/>
  <c r="D20" i="12"/>
  <c r="D20" i="18"/>
  <c r="D20" i="13" s="1"/>
  <c r="L18" i="12"/>
  <c r="L18" i="18" s="1"/>
  <c r="H18" i="12"/>
  <c r="H18" i="18" s="1"/>
  <c r="D18" i="12"/>
  <c r="D18" i="18" s="1"/>
  <c r="L16" i="12"/>
  <c r="L16" i="18" s="1"/>
  <c r="L16" i="13" s="1"/>
  <c r="H16" i="12"/>
  <c r="H16" i="18" s="1"/>
  <c r="H16" i="13" s="1"/>
  <c r="D16" i="12"/>
  <c r="D16" i="18" s="1"/>
  <c r="N12" i="12"/>
  <c r="N12" i="18" s="1"/>
  <c r="J12" i="12"/>
  <c r="J12" i="18" s="1"/>
  <c r="J12" i="13" s="1"/>
  <c r="F12" i="12"/>
  <c r="F12" i="18" s="1"/>
  <c r="F12" i="13" s="1"/>
  <c r="B12" i="12"/>
  <c r="B12" i="18" s="1"/>
  <c r="L11" i="12"/>
  <c r="L11" i="18" s="1"/>
  <c r="H11" i="12"/>
  <c r="H11" i="18" s="1"/>
  <c r="H11" i="13" s="1"/>
  <c r="D11" i="12"/>
  <c r="D11" i="18" s="1"/>
  <c r="L7" i="12"/>
  <c r="L7" i="18" s="1"/>
  <c r="H7" i="12"/>
  <c r="H7" i="18" s="1"/>
  <c r="D7" i="12"/>
  <c r="D7" i="18" s="1"/>
  <c r="D7" i="13" s="1"/>
  <c r="N6" i="12"/>
  <c r="N6" i="18" s="1"/>
  <c r="J6" i="12"/>
  <c r="J6" i="18" s="1"/>
  <c r="F6" i="12"/>
  <c r="F6" i="18" s="1"/>
  <c r="F6" i="13" s="1"/>
  <c r="B6" i="12"/>
  <c r="B6" i="18" s="1"/>
  <c r="B6" i="13" s="1"/>
  <c r="L5" i="12"/>
  <c r="L5" i="18" s="1"/>
  <c r="L5" i="13" s="1"/>
  <c r="H5" i="12"/>
  <c r="H5" i="18" s="1"/>
  <c r="D5" i="12"/>
  <c r="D5" i="18" s="1"/>
  <c r="D5" i="13" s="1"/>
  <c r="L3" i="12"/>
  <c r="L3" i="18" s="1"/>
  <c r="L3" i="13" s="1"/>
  <c r="H3" i="12"/>
  <c r="H3" i="18" s="1"/>
  <c r="D3" i="12"/>
  <c r="D3" i="18" s="1"/>
  <c r="L66" i="12"/>
  <c r="L66" i="18" s="1"/>
  <c r="L66" i="13" s="1"/>
  <c r="H66" i="12"/>
  <c r="H66" i="18" s="1"/>
  <c r="D66" i="12"/>
  <c r="D66" i="18" s="1"/>
  <c r="D66" i="13" s="1"/>
  <c r="M63" i="12"/>
  <c r="M63" i="18" s="1"/>
  <c r="I63" i="12"/>
  <c r="I63" i="18" s="1"/>
  <c r="I63" i="13" s="1"/>
  <c r="E63" i="12"/>
  <c r="E63" i="18" s="1"/>
  <c r="E63" i="13" s="1"/>
  <c r="O62" i="12"/>
  <c r="O62" i="18" s="1"/>
  <c r="O62" i="13" s="1"/>
  <c r="K62" i="12"/>
  <c r="K62" i="18" s="1"/>
  <c r="G62" i="12"/>
  <c r="G62" i="18" s="1"/>
  <c r="G62" i="13" s="1"/>
  <c r="C62" i="12"/>
  <c r="C62" i="18" s="1"/>
  <c r="C62" i="13" s="1"/>
  <c r="M61" i="12"/>
  <c r="M61" i="18" s="1"/>
  <c r="M61" i="13" s="1"/>
  <c r="I61" i="12"/>
  <c r="I61" i="18" s="1"/>
  <c r="I61" i="13" s="1"/>
  <c r="E61" i="12"/>
  <c r="E61" i="18" s="1"/>
  <c r="O60" i="12"/>
  <c r="O60" i="18" s="1"/>
  <c r="K60" i="12"/>
  <c r="K60" i="18" s="1"/>
  <c r="K60" i="13" s="1"/>
  <c r="G60" i="12"/>
  <c r="G60" i="18" s="1"/>
  <c r="G60" i="13" s="1"/>
  <c r="C60" i="12"/>
  <c r="C60" i="18" s="1"/>
  <c r="M59" i="12"/>
  <c r="M59" i="18" s="1"/>
  <c r="M59" i="13" s="1"/>
  <c r="I59" i="12"/>
  <c r="I59" i="18" s="1"/>
  <c r="I59" i="13" s="1"/>
  <c r="E59" i="12"/>
  <c r="E59" i="18" s="1"/>
  <c r="O58" i="12"/>
  <c r="O58" i="18" s="1"/>
  <c r="O58" i="13" s="1"/>
  <c r="K58" i="12"/>
  <c r="K58" i="18" s="1"/>
  <c r="K58" i="13" s="1"/>
  <c r="G58" i="12"/>
  <c r="G58" i="18" s="1"/>
  <c r="G58" i="13" s="1"/>
  <c r="C58" i="12"/>
  <c r="C58" i="18" s="1"/>
  <c r="C58" i="13" s="1"/>
  <c r="M57" i="12"/>
  <c r="M57" i="18" s="1"/>
  <c r="M57" i="13" s="1"/>
  <c r="I57" i="12"/>
  <c r="I57" i="18" s="1"/>
  <c r="I57" i="13" s="1"/>
  <c r="E57" i="12"/>
  <c r="E57" i="18" s="1"/>
  <c r="O56" i="12"/>
  <c r="O56" i="18" s="1"/>
  <c r="O56" i="13" s="1"/>
  <c r="K56" i="12"/>
  <c r="K56" i="18" s="1"/>
  <c r="K56" i="13" s="1"/>
  <c r="G56" i="12"/>
  <c r="G56" i="18" s="1"/>
  <c r="G56" i="13" s="1"/>
  <c r="C56" i="12"/>
  <c r="C56" i="18" s="1"/>
  <c r="C56" i="13" s="1"/>
  <c r="M55" i="12"/>
  <c r="M55" i="18" s="1"/>
  <c r="M55" i="13" s="1"/>
  <c r="I55" i="12"/>
  <c r="I55" i="18" s="1"/>
  <c r="E55" i="12"/>
  <c r="E55" i="18" s="1"/>
  <c r="E55" i="13" s="1"/>
  <c r="O54" i="12"/>
  <c r="O54" i="18" s="1"/>
  <c r="K54" i="12"/>
  <c r="K54" i="18" s="1"/>
  <c r="G54" i="12"/>
  <c r="G54" i="18" s="1"/>
  <c r="C54" i="12"/>
  <c r="C54" i="18" s="1"/>
  <c r="C54" i="13" s="1"/>
  <c r="M52" i="12"/>
  <c r="M52" i="18" s="1"/>
  <c r="M52" i="13" s="1"/>
  <c r="I52" i="12"/>
  <c r="I52" i="18" s="1"/>
  <c r="I52" i="13" s="1"/>
  <c r="E52" i="12"/>
  <c r="E52" i="18" s="1"/>
  <c r="E52" i="13" s="1"/>
  <c r="O51" i="12"/>
  <c r="O51" i="18" s="1"/>
  <c r="K51" i="12"/>
  <c r="K51" i="18" s="1"/>
  <c r="G51" i="12"/>
  <c r="G51" i="18" s="1"/>
  <c r="G51" i="13" s="1"/>
  <c r="C51" i="12"/>
  <c r="C51" i="18" s="1"/>
  <c r="C51" i="13" s="1"/>
  <c r="M50" i="12"/>
  <c r="M50" i="18" s="1"/>
  <c r="I50" i="12"/>
  <c r="I50" i="18" s="1"/>
  <c r="E50" i="12"/>
  <c r="E50" i="18" s="1"/>
  <c r="E50" i="13" s="1"/>
  <c r="O49" i="12"/>
  <c r="O49" i="18" s="1"/>
  <c r="O49" i="13" s="1"/>
  <c r="K49" i="12"/>
  <c r="K49" i="18" s="1"/>
  <c r="K49" i="13" s="1"/>
  <c r="G49" i="12"/>
  <c r="G49" i="18" s="1"/>
  <c r="C49" i="12"/>
  <c r="C49" i="18" s="1"/>
  <c r="C49" i="13" s="1"/>
  <c r="M48" i="12"/>
  <c r="M48" i="18" s="1"/>
  <c r="M48" i="13" s="1"/>
  <c r="I48" i="12"/>
  <c r="I48" i="18" s="1"/>
  <c r="I48" i="13" s="1"/>
  <c r="E48" i="12"/>
  <c r="E48" i="18" s="1"/>
  <c r="O47" i="12"/>
  <c r="O47" i="18" s="1"/>
  <c r="O47" i="13" s="1"/>
  <c r="K47" i="12"/>
  <c r="K47" i="18" s="1"/>
  <c r="K47" i="13" s="1"/>
  <c r="G47" i="12"/>
  <c r="G47" i="18" s="1"/>
  <c r="C47" i="12"/>
  <c r="C47" i="18" s="1"/>
  <c r="C47" i="13" s="1"/>
  <c r="M46" i="12"/>
  <c r="M46" i="18" s="1"/>
  <c r="M46" i="13" s="1"/>
  <c r="I46" i="12"/>
  <c r="I46" i="18" s="1"/>
  <c r="I46" i="13" s="1"/>
  <c r="E46" i="12"/>
  <c r="E46" i="18" s="1"/>
  <c r="E46" i="13" s="1"/>
  <c r="O33" i="12"/>
  <c r="O33" i="18" s="1"/>
  <c r="O33" i="13" s="1"/>
  <c r="K33" i="12"/>
  <c r="K33" i="18" s="1"/>
  <c r="K33" i="13" s="1"/>
  <c r="G33" i="12"/>
  <c r="G33" i="18" s="1"/>
  <c r="G33" i="13" s="1"/>
  <c r="C33" i="12"/>
  <c r="C33" i="18" s="1"/>
  <c r="M32" i="12"/>
  <c r="M32" i="18" s="1"/>
  <c r="M32" i="13" s="1"/>
  <c r="I32" i="12"/>
  <c r="I32" i="18" s="1"/>
  <c r="I32" i="13" s="1"/>
  <c r="E32" i="12"/>
  <c r="E32" i="18" s="1"/>
  <c r="E32" i="13" s="1"/>
  <c r="O31" i="12"/>
  <c r="O31" i="18" s="1"/>
  <c r="O31" i="13" s="1"/>
  <c r="K31" i="12"/>
  <c r="K31" i="18" s="1"/>
  <c r="K31" i="13" s="1"/>
  <c r="G31" i="12"/>
  <c r="G31" i="18" s="1"/>
  <c r="G31" i="13" s="1"/>
  <c r="C31" i="12"/>
  <c r="C31" i="18" s="1"/>
  <c r="C31" i="13" s="1"/>
  <c r="M30" i="12"/>
  <c r="M30" i="18" s="1"/>
  <c r="M30" i="13" s="1"/>
  <c r="I30" i="12"/>
  <c r="I30" i="18" s="1"/>
  <c r="I30" i="13" s="1"/>
  <c r="E30" i="12"/>
  <c r="E30" i="18" s="1"/>
  <c r="E30" i="13" s="1"/>
  <c r="O29" i="12"/>
  <c r="O29" i="18" s="1"/>
  <c r="O29" i="13" s="1"/>
  <c r="K29" i="12"/>
  <c r="K29" i="18" s="1"/>
  <c r="K29" i="13" s="1"/>
  <c r="G29" i="12"/>
  <c r="G29" i="18" s="1"/>
  <c r="G29" i="13" s="1"/>
  <c r="C29" i="12"/>
  <c r="C29" i="18" s="1"/>
  <c r="C29" i="13" s="1"/>
  <c r="M28" i="12"/>
  <c r="M28" i="18" s="1"/>
  <c r="M28" i="13" s="1"/>
  <c r="I28" i="12"/>
  <c r="I28" i="18" s="1"/>
  <c r="I28" i="13" s="1"/>
  <c r="E28" i="12"/>
  <c r="E28" i="18" s="1"/>
  <c r="E28" i="13" s="1"/>
  <c r="O27" i="12"/>
  <c r="O27" i="18" s="1"/>
  <c r="O27" i="13" s="1"/>
  <c r="K27" i="12"/>
  <c r="K27" i="18" s="1"/>
  <c r="K27" i="13" s="1"/>
  <c r="G27" i="12"/>
  <c r="G27" i="18" s="1"/>
  <c r="C27" i="12"/>
  <c r="C27" i="18" s="1"/>
  <c r="C27" i="13" s="1"/>
  <c r="M26" i="12"/>
  <c r="M26" i="18" s="1"/>
  <c r="M26" i="13" s="1"/>
  <c r="I26" i="12"/>
  <c r="I26" i="18" s="1"/>
  <c r="I26" i="13" s="1"/>
  <c r="E26" i="12"/>
  <c r="E26" i="18" s="1"/>
  <c r="E26" i="13" s="1"/>
  <c r="O25" i="12"/>
  <c r="O25" i="18" s="1"/>
  <c r="K25" i="12"/>
  <c r="K25" i="18" s="1"/>
  <c r="G25" i="12"/>
  <c r="G25" i="18" s="1"/>
  <c r="G25" i="13" s="1"/>
  <c r="C25" i="12"/>
  <c r="C25" i="18" s="1"/>
  <c r="M23" i="12"/>
  <c r="M23" i="18" s="1"/>
  <c r="M23" i="13" s="1"/>
  <c r="I23" i="12"/>
  <c r="I23" i="18" s="1"/>
  <c r="I23" i="13" s="1"/>
  <c r="E23" i="12"/>
  <c r="E23" i="18" s="1"/>
  <c r="E23" i="13" s="1"/>
  <c r="O21" i="12"/>
  <c r="O21" i="18" s="1"/>
  <c r="O21" i="13" s="1"/>
  <c r="K21" i="12"/>
  <c r="K21" i="18" s="1"/>
  <c r="K21" i="13" s="1"/>
  <c r="G21" i="12"/>
  <c r="G21" i="18" s="1"/>
  <c r="G21" i="13" s="1"/>
  <c r="C21" i="12"/>
  <c r="C21" i="18" s="1"/>
  <c r="C21" i="13" s="1"/>
  <c r="M20" i="12"/>
  <c r="M20" i="18" s="1"/>
  <c r="M20" i="13" s="1"/>
  <c r="I20" i="12"/>
  <c r="I20" i="18" s="1"/>
  <c r="I20" i="13" s="1"/>
  <c r="E20" i="12"/>
  <c r="E20" i="18" s="1"/>
  <c r="O19" i="12"/>
  <c r="O19" i="18" s="1"/>
  <c r="O19" i="13" s="1"/>
  <c r="K19" i="12"/>
  <c r="K19" i="18" s="1"/>
  <c r="G19" i="12"/>
  <c r="G19" i="18" s="1"/>
  <c r="G19" i="13" s="1"/>
  <c r="C19" i="12"/>
  <c r="C19" i="18" s="1"/>
  <c r="C19" i="13" s="1"/>
  <c r="M18" i="12"/>
  <c r="M18" i="18" s="1"/>
  <c r="M18" i="13" s="1"/>
  <c r="I18" i="12"/>
  <c r="I18" i="18" s="1"/>
  <c r="I18" i="13" s="1"/>
  <c r="E18" i="12"/>
  <c r="E18" i="18" s="1"/>
  <c r="E18" i="13" s="1"/>
  <c r="O17" i="12"/>
  <c r="O17" i="18" s="1"/>
  <c r="O17" i="13" s="1"/>
  <c r="K17" i="12"/>
  <c r="K17" i="18" s="1"/>
  <c r="K17" i="13" s="1"/>
  <c r="G17" i="12"/>
  <c r="G17" i="18" s="1"/>
  <c r="C17" i="12"/>
  <c r="C17" i="18" s="1"/>
  <c r="M16" i="12"/>
  <c r="M16" i="18" s="1"/>
  <c r="M16" i="13" s="1"/>
  <c r="I16" i="12"/>
  <c r="I16" i="18" s="1"/>
  <c r="I16" i="13" s="1"/>
  <c r="E16" i="12"/>
  <c r="E16" i="18" s="1"/>
  <c r="E16" i="13" s="1"/>
  <c r="O15" i="12"/>
  <c r="O15" i="18" s="1"/>
  <c r="K15" i="12"/>
  <c r="K15" i="18" s="1"/>
  <c r="K15" i="13" s="1"/>
  <c r="G15" i="12"/>
  <c r="G15" i="18" s="1"/>
  <c r="C15" i="12"/>
  <c r="C15" i="18" s="1"/>
  <c r="C15" i="13" s="1"/>
  <c r="M13" i="12"/>
  <c r="M13" i="18" s="1"/>
  <c r="M13" i="13" s="1"/>
  <c r="I13" i="12"/>
  <c r="I13" i="18" s="1"/>
  <c r="I13" i="13" s="1"/>
  <c r="E13" i="12"/>
  <c r="E13" i="18" s="1"/>
  <c r="E13" i="13" s="1"/>
  <c r="O12" i="12"/>
  <c r="O12" i="18" s="1"/>
  <c r="O12" i="13" s="1"/>
  <c r="K12" i="12"/>
  <c r="K12" i="18" s="1"/>
  <c r="G12" i="12"/>
  <c r="G12" i="18" s="1"/>
  <c r="C12" i="12"/>
  <c r="C12" i="18" s="1"/>
  <c r="C12" i="13" s="1"/>
  <c r="M11" i="12"/>
  <c r="M11" i="18" s="1"/>
  <c r="M11" i="13" s="1"/>
  <c r="I11" i="12"/>
  <c r="I11" i="18" s="1"/>
  <c r="I11" i="13" s="1"/>
  <c r="E11" i="12"/>
  <c r="E11" i="18" s="1"/>
  <c r="E11" i="13" s="1"/>
  <c r="O10" i="12"/>
  <c r="O10" i="18" s="1"/>
  <c r="O10" i="13" s="1"/>
  <c r="K10" i="12"/>
  <c r="K10" i="18" s="1"/>
  <c r="K10" i="13" s="1"/>
  <c r="G10" i="12"/>
  <c r="G10" i="18" s="1"/>
  <c r="G10" i="13" s="1"/>
  <c r="C10" i="12"/>
  <c r="C10" i="18" s="1"/>
  <c r="C10" i="13" s="1"/>
  <c r="M9" i="12"/>
  <c r="M9" i="18" s="1"/>
  <c r="M9" i="13" s="1"/>
  <c r="I9" i="12"/>
  <c r="I9" i="18" s="1"/>
  <c r="I9" i="13" s="1"/>
  <c r="E9" i="12"/>
  <c r="E9" i="18" s="1"/>
  <c r="E9" i="13" s="1"/>
  <c r="O8" i="12"/>
  <c r="O8" i="18" s="1"/>
  <c r="O8" i="13" s="1"/>
  <c r="K8" i="12"/>
  <c r="K8" i="18" s="1"/>
  <c r="G8" i="12"/>
  <c r="G8" i="18" s="1"/>
  <c r="G8" i="13" s="1"/>
  <c r="C8" i="12"/>
  <c r="C8" i="18" s="1"/>
  <c r="C8" i="13" s="1"/>
  <c r="M7" i="12"/>
  <c r="M7" i="18" s="1"/>
  <c r="M7" i="13" s="1"/>
  <c r="I7" i="12"/>
  <c r="I7" i="18" s="1"/>
  <c r="I7" i="13" s="1"/>
  <c r="E7" i="12"/>
  <c r="E7" i="18" s="1"/>
  <c r="E7" i="13" s="1"/>
  <c r="O6" i="12"/>
  <c r="O6" i="18" s="1"/>
  <c r="O6" i="13" s="1"/>
  <c r="K6" i="12"/>
  <c r="K6" i="18" s="1"/>
  <c r="K6" i="13" s="1"/>
  <c r="G6" i="12"/>
  <c r="G6" i="18" s="1"/>
  <c r="G6" i="13" s="1"/>
  <c r="C6" i="12"/>
  <c r="C6" i="18" s="1"/>
  <c r="C6" i="13" s="1"/>
  <c r="M5" i="12"/>
  <c r="M5" i="18" s="1"/>
  <c r="M5" i="13" s="1"/>
  <c r="I5" i="12"/>
  <c r="I5" i="18" s="1"/>
  <c r="I5" i="13" s="1"/>
  <c r="E5" i="12"/>
  <c r="E5" i="18" s="1"/>
  <c r="E5" i="13" s="1"/>
  <c r="O4" i="12"/>
  <c r="O4" i="18" s="1"/>
  <c r="K4" i="12"/>
  <c r="K4" i="18" s="1"/>
  <c r="G4" i="12"/>
  <c r="G4" i="18" s="1"/>
  <c r="G4" i="13" s="1"/>
  <c r="C4" i="12"/>
  <c r="C4" i="18" s="1"/>
  <c r="C4" i="13" s="1"/>
  <c r="M3" i="12"/>
  <c r="M3" i="18" s="1"/>
  <c r="I3" i="12"/>
  <c r="I3" i="18" s="1"/>
  <c r="I3" i="13" s="1"/>
  <c r="E3" i="12"/>
  <c r="E3" i="18" s="1"/>
  <c r="E3" i="13" s="1"/>
  <c r="O2" i="12"/>
  <c r="O2" i="18" s="1"/>
  <c r="O2" i="13" s="1"/>
  <c r="K2" i="12"/>
  <c r="K2" i="18" s="1"/>
  <c r="K2" i="13" s="1"/>
  <c r="G2" i="12"/>
  <c r="G2" i="18" s="1"/>
  <c r="G2" i="13" s="1"/>
  <c r="C2" i="12"/>
  <c r="C2" i="18" s="1"/>
  <c r="C2" i="13" s="1"/>
  <c r="N64" i="12"/>
  <c r="N64" i="18" s="1"/>
  <c r="N64" i="13" s="1"/>
  <c r="J64" i="12"/>
  <c r="J64" i="18" s="1"/>
  <c r="J64" i="13" s="1"/>
  <c r="F64" i="12"/>
  <c r="F64" i="18" s="1"/>
  <c r="F64" i="13" s="1"/>
  <c r="O67" i="12"/>
  <c r="O67" i="18" s="1"/>
  <c r="O67" i="13" s="1"/>
  <c r="K67" i="12"/>
  <c r="K67" i="18" s="1"/>
  <c r="K67" i="13" s="1"/>
  <c r="G67" i="12"/>
  <c r="G67" i="18" s="1"/>
  <c r="G67" i="13" s="1"/>
  <c r="C67" i="12"/>
  <c r="C67" i="18" s="1"/>
  <c r="M66" i="12"/>
  <c r="M66" i="18" s="1"/>
  <c r="M66" i="13" s="1"/>
  <c r="I66" i="12"/>
  <c r="I66" i="18" s="1"/>
  <c r="I66" i="13" s="1"/>
  <c r="E66" i="12"/>
  <c r="E66" i="18" s="1"/>
  <c r="E66" i="13" s="1"/>
  <c r="N63" i="12"/>
  <c r="N63" i="18" s="1"/>
  <c r="J63" i="12"/>
  <c r="J63" i="18" s="1"/>
  <c r="J63" i="13" s="1"/>
  <c r="F63" i="12"/>
  <c r="F63" i="18" s="1"/>
  <c r="F63" i="13" s="1"/>
  <c r="B63" i="12"/>
  <c r="B63" i="18" s="1"/>
  <c r="N61" i="12"/>
  <c r="N61" i="18" s="1"/>
  <c r="N61" i="13" s="1"/>
  <c r="J61" i="12"/>
  <c r="J61" i="18" s="1"/>
  <c r="J61" i="13" s="1"/>
  <c r="F61" i="12"/>
  <c r="F61" i="18" s="1"/>
  <c r="F61" i="13" s="1"/>
  <c r="B61" i="12"/>
  <c r="B61" i="18" s="1"/>
  <c r="N59" i="12"/>
  <c r="N59" i="18" s="1"/>
  <c r="N59" i="13" s="1"/>
  <c r="J59" i="12"/>
  <c r="J59" i="18" s="1"/>
  <c r="J59" i="13" s="1"/>
  <c r="F59" i="12"/>
  <c r="F59" i="18" s="1"/>
  <c r="F59" i="13" s="1"/>
  <c r="B59" i="12"/>
  <c r="B59" i="18" s="1"/>
  <c r="B59" i="13" s="1"/>
  <c r="N57" i="12"/>
  <c r="N57" i="18" s="1"/>
  <c r="J57" i="12"/>
  <c r="J57" i="18" s="1"/>
  <c r="J57" i="13" s="1"/>
  <c r="F57" i="12"/>
  <c r="F57" i="18" s="1"/>
  <c r="F57" i="13" s="1"/>
  <c r="B57" i="12"/>
  <c r="B57" i="18" s="1"/>
  <c r="B57" i="13" s="1"/>
  <c r="N55" i="12"/>
  <c r="N55" i="18" s="1"/>
  <c r="N55" i="13" s="1"/>
  <c r="J55" i="12"/>
  <c r="J55" i="18" s="1"/>
  <c r="J55" i="13" s="1"/>
  <c r="F55" i="12"/>
  <c r="F55" i="18" s="1"/>
  <c r="F55" i="13" s="1"/>
  <c r="B55" i="12"/>
  <c r="B55" i="18" s="1"/>
  <c r="B55" i="13" s="1"/>
  <c r="N52" i="12"/>
  <c r="N52" i="18" s="1"/>
  <c r="J52" i="12"/>
  <c r="J52" i="18" s="1"/>
  <c r="J52" i="13" s="1"/>
  <c r="F52" i="12"/>
  <c r="F52" i="18" s="1"/>
  <c r="F52" i="13" s="1"/>
  <c r="B52" i="12"/>
  <c r="B52" i="18" s="1"/>
  <c r="B52" i="13" s="1"/>
  <c r="N50" i="12"/>
  <c r="N50" i="18" s="1"/>
  <c r="J50" i="12"/>
  <c r="J50" i="18" s="1"/>
  <c r="J50" i="13" s="1"/>
  <c r="F50" i="12"/>
  <c r="F50" i="18" s="1"/>
  <c r="F50" i="13" s="1"/>
  <c r="B50" i="12"/>
  <c r="B50" i="18" s="1"/>
  <c r="B50" i="13" s="1"/>
  <c r="N48" i="12"/>
  <c r="N48" i="18" s="1"/>
  <c r="J48" i="12"/>
  <c r="J48" i="18" s="1"/>
  <c r="J48" i="13" s="1"/>
  <c r="F48" i="12"/>
  <c r="F48" i="18" s="1"/>
  <c r="F48" i="13" s="1"/>
  <c r="B48" i="12"/>
  <c r="B48" i="18" s="1"/>
  <c r="N46" i="12"/>
  <c r="N46" i="18" s="1"/>
  <c r="N46" i="13" s="1"/>
  <c r="J46" i="12"/>
  <c r="J46" i="18" s="1"/>
  <c r="J46" i="13" s="1"/>
  <c r="F46" i="12"/>
  <c r="F46" i="18" s="1"/>
  <c r="F46" i="13" s="1"/>
  <c r="B46" i="12"/>
  <c r="B46" i="18" s="1"/>
  <c r="B46" i="13" s="1"/>
  <c r="N32" i="12"/>
  <c r="N32" i="18" s="1"/>
  <c r="J32" i="12"/>
  <c r="J32" i="18" s="1"/>
  <c r="F32" i="12"/>
  <c r="F32" i="18" s="1"/>
  <c r="F32" i="13" s="1"/>
  <c r="B32" i="12"/>
  <c r="B32" i="18" s="1"/>
  <c r="B32" i="13" s="1"/>
  <c r="N30" i="12"/>
  <c r="N30" i="18" s="1"/>
  <c r="N30" i="13" s="1"/>
  <c r="J30" i="12"/>
  <c r="J30" i="18" s="1"/>
  <c r="J30" i="13" s="1"/>
  <c r="F30" i="12"/>
  <c r="F30" i="18" s="1"/>
  <c r="F30" i="13" s="1"/>
  <c r="B30" i="12"/>
  <c r="B30" i="18" s="1"/>
  <c r="B30" i="13" s="1"/>
  <c r="N28" i="12"/>
  <c r="N28" i="18" s="1"/>
  <c r="N28" i="13" s="1"/>
  <c r="J28" i="12"/>
  <c r="J28" i="18" s="1"/>
  <c r="J28" i="13" s="1"/>
  <c r="F28" i="12"/>
  <c r="F28" i="18" s="1"/>
  <c r="F28" i="13" s="1"/>
  <c r="B28" i="12"/>
  <c r="B28" i="18" s="1"/>
  <c r="B28" i="13" s="1"/>
  <c r="N26" i="12"/>
  <c r="N26" i="18" s="1"/>
  <c r="J26" i="12"/>
  <c r="J26" i="18" s="1"/>
  <c r="J26" i="13" s="1"/>
  <c r="F26" i="12"/>
  <c r="F26" i="18" s="1"/>
  <c r="F26" i="13" s="1"/>
  <c r="B26" i="12"/>
  <c r="B26" i="18" s="1"/>
  <c r="B26" i="13" s="1"/>
  <c r="N23" i="12"/>
  <c r="N23" i="18" s="1"/>
  <c r="N23" i="13" s="1"/>
  <c r="J23" i="12"/>
  <c r="J23" i="18" s="1"/>
  <c r="J23" i="13" s="1"/>
  <c r="F23" i="12"/>
  <c r="F23" i="18" s="1"/>
  <c r="F23" i="13" s="1"/>
  <c r="B23" i="12"/>
  <c r="B23" i="18" s="1"/>
  <c r="N20" i="12"/>
  <c r="N20" i="18" s="1"/>
  <c r="J20" i="12"/>
  <c r="J20" i="18" s="1"/>
  <c r="J20" i="13" s="1"/>
  <c r="F20" i="12"/>
  <c r="F20" i="18" s="1"/>
  <c r="F20" i="13" s="1"/>
  <c r="B20" i="12"/>
  <c r="B20" i="18" s="1"/>
  <c r="B20" i="13" s="1"/>
  <c r="N18" i="12"/>
  <c r="N18" i="18" s="1"/>
  <c r="N18" i="13" s="1"/>
  <c r="J18" i="12"/>
  <c r="J18" i="18" s="1"/>
  <c r="J18" i="13" s="1"/>
  <c r="F18" i="12"/>
  <c r="F18" i="18" s="1"/>
  <c r="F18" i="13" s="1"/>
  <c r="B18" i="12"/>
  <c r="B18" i="18" s="1"/>
  <c r="N16" i="12"/>
  <c r="N16" i="18" s="1"/>
  <c r="J16" i="12"/>
  <c r="J16" i="18" s="1"/>
  <c r="J16" i="13" s="1"/>
  <c r="F16" i="12"/>
  <c r="F16" i="18" s="1"/>
  <c r="F16" i="13" s="1"/>
  <c r="B16" i="12"/>
  <c r="B16" i="18" s="1"/>
  <c r="L12" i="12"/>
  <c r="L12" i="18" s="1"/>
  <c r="H12" i="12"/>
  <c r="H12" i="18" s="1"/>
  <c r="H12" i="13" s="1"/>
  <c r="D12" i="12"/>
  <c r="D12" i="18" s="1"/>
  <c r="D12" i="13" s="1"/>
  <c r="N11" i="12"/>
  <c r="N11" i="18" s="1"/>
  <c r="N11" i="13" s="1"/>
  <c r="J11" i="12"/>
  <c r="J11" i="18" s="1"/>
  <c r="J11" i="13" s="1"/>
  <c r="F11" i="12"/>
  <c r="F11" i="18" s="1"/>
  <c r="B11" i="12"/>
  <c r="B11" i="18" s="1"/>
  <c r="B11" i="13" s="1"/>
  <c r="N7" i="12"/>
  <c r="N7" i="18" s="1"/>
  <c r="J7" i="12"/>
  <c r="J7" i="18" s="1"/>
  <c r="F7" i="12"/>
  <c r="F7" i="18" s="1"/>
  <c r="F7" i="13" s="1"/>
  <c r="B7" i="12"/>
  <c r="B7" i="18" s="1"/>
  <c r="B7" i="13" s="1"/>
  <c r="L6" i="12"/>
  <c r="L6" i="18" s="1"/>
  <c r="L6" i="13" s="1"/>
  <c r="H6" i="12"/>
  <c r="H6" i="18" s="1"/>
  <c r="H6" i="13" s="1"/>
  <c r="D6" i="12"/>
  <c r="D6" i="18" s="1"/>
  <c r="D6" i="13" s="1"/>
  <c r="N5" i="12"/>
  <c r="N5" i="18" s="1"/>
  <c r="N5" i="13" s="1"/>
  <c r="J5" i="12"/>
  <c r="J5" i="18" s="1"/>
  <c r="F5" i="12"/>
  <c r="F5" i="18" s="1"/>
  <c r="F5" i="13" s="1"/>
  <c r="B5" i="12"/>
  <c r="B5" i="18" s="1"/>
  <c r="B5" i="13" s="1"/>
  <c r="N3" i="12"/>
  <c r="N3" i="18" s="1"/>
  <c r="N3" i="13" s="1"/>
  <c r="J3" i="12"/>
  <c r="J3" i="18" s="1"/>
  <c r="F3" i="12"/>
  <c r="F3" i="18" s="1"/>
  <c r="B3" i="12"/>
  <c r="B3" i="18" s="1"/>
  <c r="B3" i="13" s="1"/>
  <c r="N66" i="12"/>
  <c r="N66" i="18" s="1"/>
  <c r="N66" i="13" s="1"/>
  <c r="J66" i="12"/>
  <c r="J66" i="18" s="1"/>
  <c r="F66" i="12"/>
  <c r="F66" i="18" s="1"/>
  <c r="B66" i="12"/>
  <c r="B66" i="18" s="1"/>
  <c r="B66" i="13" s="1"/>
  <c r="O63" i="12"/>
  <c r="O63" i="18" s="1"/>
  <c r="O63" i="13" s="1"/>
  <c r="K63" i="12"/>
  <c r="K63" i="18" s="1"/>
  <c r="K63" i="13" s="1"/>
  <c r="G63" i="12"/>
  <c r="G63" i="18" s="1"/>
  <c r="G63" i="13" s="1"/>
  <c r="M62" i="12"/>
  <c r="M62" i="18" s="1"/>
  <c r="I62" i="12"/>
  <c r="I62" i="18" s="1"/>
  <c r="I62" i="13" s="1"/>
  <c r="O61" i="12"/>
  <c r="O61" i="18" s="1"/>
  <c r="O61" i="13" s="1"/>
  <c r="K61" i="12"/>
  <c r="K61" i="18" s="1"/>
  <c r="K61" i="13" s="1"/>
  <c r="G61" i="12"/>
  <c r="G61" i="18" s="1"/>
  <c r="M60" i="12"/>
  <c r="M60" i="18" s="1"/>
  <c r="M60" i="13" s="1"/>
  <c r="I60" i="12"/>
  <c r="I60" i="18" s="1"/>
  <c r="I60" i="13" s="1"/>
  <c r="O59" i="12"/>
  <c r="O59" i="18" s="1"/>
  <c r="O59" i="13" s="1"/>
  <c r="K59" i="12"/>
  <c r="K59" i="18" s="1"/>
  <c r="K59" i="13" s="1"/>
  <c r="G59" i="12"/>
  <c r="G59" i="18" s="1"/>
  <c r="G59" i="13" s="1"/>
  <c r="M58" i="12"/>
  <c r="M58" i="18" s="1"/>
  <c r="I58" i="12"/>
  <c r="I58" i="18" s="1"/>
  <c r="I58" i="13" s="1"/>
  <c r="O57" i="12"/>
  <c r="O57" i="18" s="1"/>
  <c r="O57" i="13" s="1"/>
  <c r="K57" i="12"/>
  <c r="K57" i="18" s="1"/>
  <c r="K57" i="13" s="1"/>
  <c r="G57" i="12"/>
  <c r="G57" i="18" s="1"/>
  <c r="G57" i="13" s="1"/>
  <c r="M56" i="12"/>
  <c r="M56" i="18" s="1"/>
  <c r="M56" i="13" s="1"/>
  <c r="I56" i="12"/>
  <c r="I56" i="18" s="1"/>
  <c r="I56" i="13" s="1"/>
  <c r="O55" i="12"/>
  <c r="O55" i="18" s="1"/>
  <c r="O55" i="13" s="1"/>
  <c r="K55" i="12"/>
  <c r="K55" i="18" s="1"/>
  <c r="K55" i="13" s="1"/>
  <c r="G55" i="12"/>
  <c r="G55" i="18" s="1"/>
  <c r="G55" i="13" s="1"/>
  <c r="M54" i="12"/>
  <c r="M54" i="18" s="1"/>
  <c r="M54" i="13" s="1"/>
  <c r="I54" i="12"/>
  <c r="I54" i="18" s="1"/>
  <c r="I54" i="13" s="1"/>
  <c r="O52" i="12"/>
  <c r="O52" i="18" s="1"/>
  <c r="O52" i="13" s="1"/>
  <c r="K52" i="12"/>
  <c r="K52" i="18" s="1"/>
  <c r="K52" i="13" s="1"/>
  <c r="G52" i="12"/>
  <c r="G52" i="18" s="1"/>
  <c r="G52" i="13" s="1"/>
  <c r="M51" i="12"/>
  <c r="M51" i="18" s="1"/>
  <c r="M51" i="13" s="1"/>
  <c r="I51" i="12"/>
  <c r="I51" i="18" s="1"/>
  <c r="I51" i="13" s="1"/>
  <c r="O50" i="12"/>
  <c r="O50" i="18" s="1"/>
  <c r="O50" i="13" s="1"/>
  <c r="K50" i="12"/>
  <c r="K50" i="18" s="1"/>
  <c r="K50" i="13" s="1"/>
  <c r="G50" i="12"/>
  <c r="G50" i="18" s="1"/>
  <c r="G50" i="13" s="1"/>
  <c r="M49" i="12"/>
  <c r="M49" i="18" s="1"/>
  <c r="M49" i="13" s="1"/>
  <c r="I49" i="12"/>
  <c r="I49" i="18" s="1"/>
  <c r="I49" i="13" s="1"/>
  <c r="O48" i="12"/>
  <c r="O48" i="18" s="1"/>
  <c r="O48" i="13" s="1"/>
  <c r="K48" i="12"/>
  <c r="K48" i="18" s="1"/>
  <c r="G48" i="12"/>
  <c r="G48" i="18" s="1"/>
  <c r="G48" i="13" s="1"/>
  <c r="M47" i="12"/>
  <c r="M47" i="18" s="1"/>
  <c r="I47" i="12"/>
  <c r="I47" i="18" s="1"/>
  <c r="I47" i="13" s="1"/>
  <c r="O46" i="12"/>
  <c r="O46" i="18" s="1"/>
  <c r="O46" i="13" s="1"/>
  <c r="K46" i="12"/>
  <c r="K46" i="18" s="1"/>
  <c r="G46" i="12"/>
  <c r="G46" i="18" s="1"/>
  <c r="G46" i="13" s="1"/>
  <c r="M33" i="12"/>
  <c r="M33" i="18" s="1"/>
  <c r="M33" i="13" s="1"/>
  <c r="I33" i="12"/>
  <c r="I33" i="18" s="1"/>
  <c r="I33" i="13" s="1"/>
  <c r="O32" i="12"/>
  <c r="O32" i="18" s="1"/>
  <c r="O32" i="13" s="1"/>
  <c r="K32" i="12"/>
  <c r="K32" i="18" s="1"/>
  <c r="K32" i="13" s="1"/>
  <c r="G32" i="12"/>
  <c r="G32" i="18" s="1"/>
  <c r="G32" i="13" s="1"/>
  <c r="M31" i="12"/>
  <c r="M31" i="18" s="1"/>
  <c r="M31" i="13" s="1"/>
  <c r="I31" i="12"/>
  <c r="I31" i="18" s="1"/>
  <c r="I31" i="13" s="1"/>
  <c r="O30" i="12"/>
  <c r="O30" i="18" s="1"/>
  <c r="K30" i="12"/>
  <c r="K30" i="18" s="1"/>
  <c r="K30" i="13" s="1"/>
  <c r="G30" i="12"/>
  <c r="G30" i="18" s="1"/>
  <c r="M29" i="12"/>
  <c r="M29" i="18" s="1"/>
  <c r="M29" i="13" s="1"/>
  <c r="I29" i="12"/>
  <c r="I29" i="18" s="1"/>
  <c r="I29" i="13" s="1"/>
  <c r="O28" i="12"/>
  <c r="O28" i="18" s="1"/>
  <c r="O28" i="13" s="1"/>
  <c r="K28" i="12"/>
  <c r="K28" i="18" s="1"/>
  <c r="K28" i="13" s="1"/>
  <c r="G28" i="12"/>
  <c r="G28" i="18" s="1"/>
  <c r="G28" i="13" s="1"/>
  <c r="M27" i="12"/>
  <c r="M27" i="18" s="1"/>
  <c r="M27" i="13" s="1"/>
  <c r="I27" i="12"/>
  <c r="I27" i="18" s="1"/>
  <c r="I27" i="13" s="1"/>
  <c r="O26" i="12"/>
  <c r="O26" i="18" s="1"/>
  <c r="O26" i="13" s="1"/>
  <c r="K26" i="12"/>
  <c r="K26" i="18" s="1"/>
  <c r="K26" i="13" s="1"/>
  <c r="G26" i="12"/>
  <c r="G26" i="18" s="1"/>
  <c r="G26" i="13" s="1"/>
  <c r="M25" i="12"/>
  <c r="M25" i="18" s="1"/>
  <c r="M25" i="13" s="1"/>
  <c r="I25" i="12"/>
  <c r="I25" i="18" s="1"/>
  <c r="O23" i="12"/>
  <c r="O23" i="18" s="1"/>
  <c r="O23" i="13" s="1"/>
  <c r="K23" i="12"/>
  <c r="K23" i="18" s="1"/>
  <c r="K23" i="13" s="1"/>
  <c r="G23" i="12"/>
  <c r="G23" i="18" s="1"/>
  <c r="G23" i="13" s="1"/>
  <c r="M21" i="12"/>
  <c r="M21" i="18" s="1"/>
  <c r="M21" i="13" s="1"/>
  <c r="I21" i="12"/>
  <c r="I21" i="18" s="1"/>
  <c r="I21" i="13" s="1"/>
  <c r="O20" i="12"/>
  <c r="O20" i="18" s="1"/>
  <c r="O20" i="13" s="1"/>
  <c r="K20" i="12"/>
  <c r="K20" i="18" s="1"/>
  <c r="K20" i="13" s="1"/>
  <c r="G20" i="12"/>
  <c r="G20" i="18" s="1"/>
  <c r="G20" i="13" s="1"/>
  <c r="M19" i="12"/>
  <c r="M19" i="18" s="1"/>
  <c r="M19" i="13" s="1"/>
  <c r="I19" i="12"/>
  <c r="I19" i="18" s="1"/>
  <c r="I19" i="13" s="1"/>
  <c r="O18" i="12"/>
  <c r="O18" i="18" s="1"/>
  <c r="O18" i="13" s="1"/>
  <c r="K18" i="12"/>
  <c r="K18" i="18" s="1"/>
  <c r="K18" i="13" s="1"/>
  <c r="G18" i="12"/>
  <c r="G18" i="18" s="1"/>
  <c r="M17" i="12"/>
  <c r="M17" i="18" s="1"/>
  <c r="M17" i="13" s="1"/>
  <c r="I17" i="12"/>
  <c r="I17" i="18" s="1"/>
  <c r="I17" i="13" s="1"/>
  <c r="O16" i="12"/>
  <c r="O16" i="18" s="1"/>
  <c r="O16" i="13" s="1"/>
  <c r="K16" i="12"/>
  <c r="K16" i="18" s="1"/>
  <c r="K16" i="13" s="1"/>
  <c r="G16" i="12"/>
  <c r="G16" i="18" s="1"/>
  <c r="M15" i="12"/>
  <c r="M15" i="18" s="1"/>
  <c r="M15" i="13" s="1"/>
  <c r="I15" i="12"/>
  <c r="I15" i="18" s="1"/>
  <c r="I15" i="13" s="1"/>
  <c r="O13" i="12"/>
  <c r="O13" i="18" s="1"/>
  <c r="O13" i="13" s="1"/>
  <c r="K13" i="12"/>
  <c r="K13" i="18" s="1"/>
  <c r="K13" i="13" s="1"/>
  <c r="G13" i="12"/>
  <c r="G13" i="18" s="1"/>
  <c r="G13" i="13" s="1"/>
  <c r="M12" i="12"/>
  <c r="M12" i="18" s="1"/>
  <c r="M12" i="13" s="1"/>
  <c r="I12" i="12"/>
  <c r="I12" i="18" s="1"/>
  <c r="I12" i="13" s="1"/>
  <c r="O11" i="12"/>
  <c r="O11" i="18" s="1"/>
  <c r="O11" i="13" s="1"/>
  <c r="K11" i="12"/>
  <c r="K11" i="18" s="1"/>
  <c r="K11" i="13" s="1"/>
  <c r="G11" i="12"/>
  <c r="G11" i="18" s="1"/>
  <c r="G11" i="13" s="1"/>
  <c r="M10" i="12"/>
  <c r="M10" i="18" s="1"/>
  <c r="I10" i="12"/>
  <c r="I10" i="18" s="1"/>
  <c r="O9" i="12"/>
  <c r="O9" i="18" s="1"/>
  <c r="O9" i="13" s="1"/>
  <c r="K9" i="12"/>
  <c r="K9" i="18" s="1"/>
  <c r="G9" i="12"/>
  <c r="G9" i="18"/>
  <c r="G9" i="13" s="1"/>
  <c r="M8" i="12"/>
  <c r="M8" i="18" s="1"/>
  <c r="M8" i="13" s="1"/>
  <c r="I8" i="12"/>
  <c r="I8" i="18" s="1"/>
  <c r="I8" i="13" s="1"/>
  <c r="O7" i="12"/>
  <c r="O7" i="18" s="1"/>
  <c r="K7" i="12"/>
  <c r="K7" i="18" s="1"/>
  <c r="K7" i="13" s="1"/>
  <c r="G7" i="12"/>
  <c r="G7" i="18" s="1"/>
  <c r="G7" i="13" s="1"/>
  <c r="M6" i="12"/>
  <c r="M6" i="18" s="1"/>
  <c r="M6" i="13" s="1"/>
  <c r="I6" i="12"/>
  <c r="I6" i="18" s="1"/>
  <c r="O5" i="12"/>
  <c r="O5" i="18" s="1"/>
  <c r="O5" i="13" s="1"/>
  <c r="K5" i="12"/>
  <c r="K5" i="18" s="1"/>
  <c r="K5" i="13" s="1"/>
  <c r="G5" i="12"/>
  <c r="G5" i="18" s="1"/>
  <c r="M4" i="12"/>
  <c r="M4" i="18" s="1"/>
  <c r="I4" i="12"/>
  <c r="I4" i="18" s="1"/>
  <c r="I4" i="13" s="1"/>
  <c r="O3" i="12"/>
  <c r="O3" i="18" s="1"/>
  <c r="O3" i="13" s="1"/>
  <c r="K3" i="12"/>
  <c r="K3" i="18" s="1"/>
  <c r="K3" i="13" s="1"/>
  <c r="G3" i="12"/>
  <c r="G3" i="18" s="1"/>
  <c r="M2" i="12"/>
  <c r="M2" i="18" s="1"/>
  <c r="I2" i="12"/>
  <c r="I2" i="18" s="1"/>
  <c r="I2" i="13" s="1"/>
  <c r="L64" i="12"/>
  <c r="L64" i="18" s="1"/>
  <c r="L64" i="13" s="1"/>
  <c r="H64" i="12"/>
  <c r="H64" i="18" s="1"/>
  <c r="H64" i="13" s="1"/>
  <c r="M67" i="12"/>
  <c r="M67" i="18" s="1"/>
  <c r="M67" i="13" s="1"/>
  <c r="I67" i="12"/>
  <c r="I67" i="18" s="1"/>
  <c r="I67" i="13" s="1"/>
  <c r="O66" i="12"/>
  <c r="O66" i="18" s="1"/>
  <c r="O66" i="13" s="1"/>
  <c r="K66" i="12"/>
  <c r="K66" i="18" s="1"/>
  <c r="K66" i="13" s="1"/>
  <c r="G66" i="12"/>
  <c r="G66" i="18" s="1"/>
  <c r="G66" i="13" s="1"/>
  <c r="N36" i="12"/>
  <c r="N36" i="18" s="1"/>
  <c r="N36" i="13" s="1"/>
  <c r="F36" i="12"/>
  <c r="F36" i="18" s="1"/>
  <c r="F36" i="13" s="1"/>
  <c r="B36" i="12"/>
  <c r="B36" i="18" s="1"/>
  <c r="B36" i="13" s="1"/>
  <c r="I39" i="12"/>
  <c r="I39" i="18" s="1"/>
  <c r="O36" i="12"/>
  <c r="O36" i="18" s="1"/>
  <c r="O36" i="13" s="1"/>
  <c r="G36" i="12"/>
  <c r="G36" i="18" s="1"/>
  <c r="G36" i="13" s="1"/>
  <c r="C36" i="12"/>
  <c r="C36" i="18" s="1"/>
  <c r="C36" i="13" s="1"/>
  <c r="M35" i="12"/>
  <c r="M35" i="18" s="1"/>
  <c r="M35" i="13" s="1"/>
  <c r="I35" i="12"/>
  <c r="I35" i="18" s="1"/>
  <c r="I35" i="13" s="1"/>
  <c r="E35" i="12"/>
  <c r="E35" i="18" s="1"/>
  <c r="E35" i="13" s="1"/>
  <c r="N39" i="12"/>
  <c r="N39" i="18" s="1"/>
  <c r="N39" i="13" s="1"/>
  <c r="J39" i="12"/>
  <c r="J39" i="18" s="1"/>
  <c r="J39" i="13" s="1"/>
  <c r="F39" i="12"/>
  <c r="F39" i="18" s="1"/>
  <c r="F39" i="13" s="1"/>
  <c r="B39" i="12"/>
  <c r="B39" i="18" s="1"/>
  <c r="B39" i="13" s="1"/>
  <c r="L38" i="12"/>
  <c r="L38" i="18" s="1"/>
  <c r="L38" i="13" s="1"/>
  <c r="H38" i="12"/>
  <c r="H38" i="18"/>
  <c r="H38" i="13" s="1"/>
  <c r="D38" i="12"/>
  <c r="D38" i="18" s="1"/>
  <c r="D38" i="13" s="1"/>
  <c r="N37" i="12"/>
  <c r="N37" i="18" s="1"/>
  <c r="N37" i="13" s="1"/>
  <c r="J37" i="12"/>
  <c r="J37" i="18" s="1"/>
  <c r="J37" i="13" s="1"/>
  <c r="F37" i="12"/>
  <c r="F37" i="18" s="1"/>
  <c r="F37" i="13" s="1"/>
  <c r="B37" i="12"/>
  <c r="B37" i="18" s="1"/>
  <c r="B37" i="13" s="1"/>
  <c r="L36" i="12"/>
  <c r="L36" i="18" s="1"/>
  <c r="L36" i="13" s="1"/>
  <c r="H36" i="12"/>
  <c r="H36" i="18" s="1"/>
  <c r="H36" i="13" s="1"/>
  <c r="D36" i="12"/>
  <c r="D36" i="18" s="1"/>
  <c r="D36" i="13" s="1"/>
  <c r="N35" i="12"/>
  <c r="N35" i="18" s="1"/>
  <c r="N35" i="13" s="1"/>
  <c r="J35" i="12"/>
  <c r="J35" i="18" s="1"/>
  <c r="J35" i="13" s="1"/>
  <c r="F35" i="12"/>
  <c r="F35" i="18" s="1"/>
  <c r="F35" i="13" s="1"/>
  <c r="B35" i="12"/>
  <c r="B35" i="18" s="1"/>
  <c r="B35" i="13" s="1"/>
  <c r="J36" i="12"/>
  <c r="J36" i="18" s="1"/>
  <c r="J36" i="13" s="1"/>
  <c r="M39" i="12"/>
  <c r="M39" i="18" s="1"/>
  <c r="E39" i="12"/>
  <c r="E39" i="18" s="1"/>
  <c r="E39" i="13" s="1"/>
  <c r="K36" i="12"/>
  <c r="K36" i="18" s="1"/>
  <c r="K36" i="13" s="1"/>
  <c r="O39" i="12"/>
  <c r="O39" i="18" s="1"/>
  <c r="O39" i="13" s="1"/>
  <c r="K39" i="12"/>
  <c r="K39" i="18" s="1"/>
  <c r="K39" i="13" s="1"/>
  <c r="G39" i="12"/>
  <c r="G39" i="18" s="1"/>
  <c r="G39" i="13" s="1"/>
  <c r="C39" i="12"/>
  <c r="C39" i="18" s="1"/>
  <c r="C39" i="13" s="1"/>
  <c r="M38" i="12"/>
  <c r="M38" i="18" s="1"/>
  <c r="M38" i="13" s="1"/>
  <c r="I38" i="12"/>
  <c r="I38" i="18" s="1"/>
  <c r="O37" i="12"/>
  <c r="O37" i="18" s="1"/>
  <c r="O37" i="13" s="1"/>
  <c r="K37" i="12"/>
  <c r="K37" i="18" s="1"/>
  <c r="K37" i="13" s="1"/>
  <c r="G37" i="12"/>
  <c r="G37" i="18" s="1"/>
  <c r="G37" i="13" s="1"/>
  <c r="M36" i="12"/>
  <c r="M36" i="18" s="1"/>
  <c r="I36" i="12"/>
  <c r="I36" i="18" s="1"/>
  <c r="I36" i="13" s="1"/>
  <c r="O35" i="12"/>
  <c r="O35" i="18" s="1"/>
  <c r="O35" i="13" s="1"/>
  <c r="K35" i="12"/>
  <c r="K35" i="18" s="1"/>
  <c r="K35" i="13" s="1"/>
  <c r="G35" i="12"/>
  <c r="G35" i="18" s="1"/>
  <c r="H9" i="10"/>
  <c r="G68" i="10"/>
  <c r="H68" i="10" s="1"/>
  <c r="G65" i="10"/>
  <c r="H65" i="10" s="1"/>
  <c r="J65" i="10" s="1"/>
  <c r="G57" i="10"/>
  <c r="H57" i="10" s="1"/>
  <c r="J57" i="10" s="1"/>
  <c r="G48" i="10"/>
  <c r="H48" i="10" s="1"/>
  <c r="G64" i="10"/>
  <c r="H64" i="10" s="1"/>
  <c r="G60" i="10"/>
  <c r="H60" i="10" s="1"/>
  <c r="J60" i="10" s="1"/>
  <c r="G51" i="10"/>
  <c r="H51" i="10" s="1"/>
  <c r="I19" i="20"/>
  <c r="I18" i="20"/>
  <c r="I23" i="20"/>
  <c r="I20" i="20"/>
  <c r="I17" i="20"/>
  <c r="I16" i="20"/>
  <c r="I15" i="20"/>
  <c r="D23" i="20"/>
  <c r="G19" i="20"/>
  <c r="G18" i="20"/>
  <c r="C18" i="20"/>
  <c r="C17" i="20"/>
  <c r="J17" i="20" s="1"/>
  <c r="J17" i="7" s="1"/>
  <c r="K17" i="7" s="1"/>
  <c r="C16" i="20"/>
  <c r="J16" i="20" s="1"/>
  <c r="J22" i="20"/>
  <c r="K22" i="20" s="1"/>
  <c r="J26" i="20"/>
  <c r="K26" i="20" s="1"/>
  <c r="J25" i="20"/>
  <c r="J24" i="20"/>
  <c r="K24" i="20" s="1"/>
  <c r="J20" i="20"/>
  <c r="J15" i="20"/>
  <c r="J15" i="7" s="1"/>
  <c r="K15" i="7" s="1"/>
  <c r="I11" i="20"/>
  <c r="J11" i="20" s="1"/>
  <c r="K20" i="20"/>
  <c r="K15" i="20"/>
  <c r="J11" i="7"/>
  <c r="J14" i="11"/>
  <c r="M4" i="10"/>
  <c r="S2" i="13"/>
  <c r="J45" i="10"/>
  <c r="I54" i="10"/>
  <c r="I45" i="10"/>
  <c r="H24" i="13"/>
  <c r="G14" i="13"/>
  <c r="J14" i="13"/>
  <c r="L24" i="13"/>
  <c r="J22" i="13"/>
  <c r="C22" i="13"/>
  <c r="G22" i="13"/>
  <c r="I65" i="13"/>
  <c r="F65" i="13"/>
  <c r="M53" i="13"/>
  <c r="D65" i="13"/>
  <c r="H65" i="13"/>
  <c r="B34" i="13"/>
  <c r="L53" i="13"/>
  <c r="G34" i="13"/>
  <c r="J45" i="13"/>
  <c r="K45" i="13"/>
  <c r="D45" i="13"/>
  <c r="D42" i="13"/>
  <c r="H42" i="13"/>
  <c r="L42" i="13"/>
  <c r="B43" i="13"/>
  <c r="F43" i="13"/>
  <c r="J43" i="13"/>
  <c r="N43" i="13"/>
  <c r="D44" i="13"/>
  <c r="H44" i="13"/>
  <c r="L44" i="13"/>
  <c r="F42" i="13"/>
  <c r="L43" i="13"/>
  <c r="F44" i="13"/>
  <c r="N44" i="13"/>
  <c r="E42" i="13"/>
  <c r="I42" i="13"/>
  <c r="C43" i="13"/>
  <c r="G43" i="13"/>
  <c r="K43" i="13"/>
  <c r="O43" i="13"/>
  <c r="I44" i="13"/>
  <c r="C42" i="13"/>
  <c r="G42" i="13"/>
  <c r="K42" i="13"/>
  <c r="O42" i="13"/>
  <c r="E43" i="13"/>
  <c r="I43" i="13"/>
  <c r="M43" i="13"/>
  <c r="C44" i="13"/>
  <c r="G44" i="13"/>
  <c r="K44" i="13"/>
  <c r="O44" i="13"/>
  <c r="B42" i="13"/>
  <c r="J42" i="13"/>
  <c r="N42" i="13"/>
  <c r="D43" i="13"/>
  <c r="H43" i="13"/>
  <c r="B44" i="13"/>
  <c r="J44" i="13"/>
  <c r="M42" i="13"/>
  <c r="E44" i="13"/>
  <c r="M44" i="13"/>
  <c r="I40" i="13"/>
  <c r="C40" i="13"/>
  <c r="E40" i="13"/>
  <c r="C28" i="13"/>
  <c r="F60" i="13"/>
  <c r="C9" i="13"/>
  <c r="E51" i="13"/>
  <c r="L33" i="13"/>
  <c r="J13" i="13"/>
  <c r="B4" i="13"/>
  <c r="L58" i="13"/>
  <c r="D49" i="13"/>
  <c r="E49" i="13"/>
  <c r="L54" i="13"/>
  <c r="L25" i="13"/>
  <c r="D15" i="13"/>
  <c r="J4" i="13"/>
  <c r="C52" i="13"/>
  <c r="N21" i="13"/>
  <c r="E27" i="13"/>
  <c r="F56" i="13"/>
  <c r="C3" i="13"/>
  <c r="E12" i="13"/>
  <c r="N60" i="13"/>
  <c r="L10" i="13"/>
  <c r="D2" i="13"/>
  <c r="E25" i="13"/>
  <c r="N56" i="13"/>
  <c r="N27" i="13"/>
  <c r="C7" i="13"/>
  <c r="C48" i="13"/>
  <c r="B27" i="13"/>
  <c r="H15" i="13"/>
  <c r="L37" i="13"/>
  <c r="H29" i="13"/>
  <c r="C11" i="13"/>
  <c r="B64" i="13"/>
  <c r="O38" i="13"/>
  <c r="H25" i="13"/>
  <c r="C37" i="13"/>
  <c r="E29" i="13"/>
  <c r="E58" i="13"/>
  <c r="B38" i="13"/>
  <c r="N9" i="13"/>
  <c r="I64" i="13"/>
  <c r="J67" i="13"/>
  <c r="J60" i="13"/>
  <c r="D62" i="13"/>
  <c r="C23" i="13"/>
  <c r="E56" i="13"/>
  <c r="J31" i="13"/>
  <c r="C26" i="13"/>
  <c r="H8" i="13"/>
  <c r="E54" i="13"/>
  <c r="D58" i="13"/>
  <c r="J17" i="13"/>
  <c r="N67" i="13"/>
  <c r="B17" i="13"/>
  <c r="E10" i="13"/>
  <c r="J38" i="13"/>
  <c r="H2" i="13"/>
  <c r="C61" i="13"/>
  <c r="B51" i="13"/>
  <c r="H10" i="13"/>
  <c r="C63" i="13"/>
  <c r="J27" i="13"/>
  <c r="J51" i="13"/>
  <c r="B13" i="13"/>
  <c r="K25" i="13"/>
  <c r="H5" i="13"/>
  <c r="D16" i="13"/>
  <c r="O30" i="13"/>
  <c r="N16" i="13"/>
  <c r="N26" i="13"/>
  <c r="N63" i="13"/>
  <c r="K12" i="13"/>
  <c r="I50" i="13"/>
  <c r="H3" i="13"/>
  <c r="D61" i="13"/>
  <c r="N29" i="13"/>
  <c r="B62" i="13"/>
  <c r="H57" i="13"/>
  <c r="M4" i="13"/>
  <c r="G15" i="13"/>
  <c r="D18" i="13"/>
  <c r="D67" i="13"/>
  <c r="L21" i="13"/>
  <c r="K46" i="13"/>
  <c r="J3" i="13"/>
  <c r="B23" i="13"/>
  <c r="B61" i="13"/>
  <c r="G27" i="13"/>
  <c r="B54" i="13"/>
  <c r="L31" i="13"/>
  <c r="N62" i="13"/>
  <c r="G16" i="13"/>
  <c r="M62" i="13"/>
  <c r="G12" i="13"/>
  <c r="D3" i="13"/>
  <c r="B12" i="13"/>
  <c r="H48" i="13"/>
  <c r="M47" i="13"/>
  <c r="L12" i="13"/>
  <c r="N32" i="13"/>
  <c r="N52" i="13"/>
  <c r="C17" i="13"/>
  <c r="G49" i="13"/>
  <c r="O54" i="13"/>
  <c r="D11" i="13"/>
  <c r="H4" i="13"/>
  <c r="J25" i="13"/>
  <c r="L56" i="13"/>
  <c r="D31" i="13"/>
  <c r="N49" i="13"/>
  <c r="I38" i="13"/>
  <c r="G61" i="13"/>
  <c r="J32" i="13"/>
  <c r="K54" i="13"/>
  <c r="E59" i="13"/>
  <c r="M63" i="13"/>
  <c r="L7" i="13"/>
  <c r="I39" i="13"/>
  <c r="F3" i="13"/>
  <c r="N20" i="13"/>
  <c r="N50" i="13"/>
  <c r="O15" i="13"/>
  <c r="E48" i="13"/>
  <c r="N6" i="13"/>
  <c r="L18" i="13"/>
  <c r="G64" i="13"/>
  <c r="F19" i="13"/>
  <c r="H51" i="13"/>
  <c r="J33" i="13"/>
  <c r="M36" i="13"/>
  <c r="O7" i="13"/>
  <c r="G30" i="13"/>
  <c r="K48" i="13"/>
  <c r="I55" i="13"/>
  <c r="C60" i="13"/>
  <c r="L11" i="13"/>
  <c r="H59" i="13"/>
  <c r="N58" i="13"/>
  <c r="F33" i="13"/>
  <c r="M2" i="13"/>
  <c r="B18" i="13"/>
  <c r="B48" i="13"/>
  <c r="M3" i="13"/>
  <c r="C25" i="13"/>
  <c r="M50" i="13"/>
  <c r="O60" i="13"/>
  <c r="L26" i="13"/>
  <c r="D50" i="13"/>
  <c r="H61" i="13"/>
  <c r="H31" i="13"/>
  <c r="J62" i="13"/>
  <c r="F54" i="13"/>
  <c r="G5" i="13"/>
  <c r="F11" i="13"/>
  <c r="E20" i="13"/>
  <c r="K62" i="13"/>
  <c r="J6" i="13"/>
  <c r="H18" i="13"/>
  <c r="D55" i="13"/>
  <c r="I10" i="13"/>
  <c r="F66" i="13"/>
  <c r="J7" i="13"/>
  <c r="N48" i="13"/>
  <c r="N57" i="13"/>
  <c r="C67" i="13"/>
  <c r="K4" i="13"/>
  <c r="O25" i="13"/>
  <c r="K51" i="13"/>
  <c r="E57" i="13"/>
  <c r="H63" i="13"/>
  <c r="B15" i="13"/>
  <c r="D47" i="13"/>
  <c r="K64" i="13"/>
  <c r="L59" i="13"/>
  <c r="G35" i="13"/>
  <c r="M39" i="13"/>
  <c r="I6" i="13"/>
  <c r="G54" i="13"/>
  <c r="H7" i="13"/>
  <c r="G3" i="13"/>
  <c r="M10" i="13"/>
  <c r="J66" i="13"/>
  <c r="K19" i="13"/>
  <c r="O51" i="13"/>
  <c r="H52" i="13"/>
  <c r="J58" i="13"/>
  <c r="M58" i="13"/>
  <c r="G47" i="13"/>
  <c r="L63" i="13"/>
  <c r="H27" i="13"/>
  <c r="N12" i="13"/>
  <c r="J5" i="13"/>
  <c r="C33" i="13"/>
  <c r="H66" i="13"/>
  <c r="D59" i="13"/>
  <c r="I25" i="13"/>
  <c r="K8" i="13"/>
  <c r="E61" i="13"/>
  <c r="F2" i="13"/>
  <c r="B29" i="13"/>
  <c r="B16" i="13"/>
  <c r="B63" i="13"/>
  <c r="G17" i="13"/>
  <c r="F58" i="13"/>
  <c r="B49" i="13"/>
  <c r="D28" i="13"/>
  <c r="H17" i="13"/>
  <c r="G18" i="13"/>
  <c r="N7" i="13"/>
  <c r="O4" i="13"/>
  <c r="D30" i="13"/>
  <c r="L47" i="13"/>
  <c r="K9" i="13"/>
  <c r="D57" i="13"/>
  <c r="N8" i="13"/>
  <c r="H23" i="13"/>
  <c r="J9" i="10"/>
  <c r="I7" i="10"/>
  <c r="I61" i="10"/>
  <c r="I64" i="10"/>
  <c r="I56" i="10"/>
  <c r="I48" i="10"/>
  <c r="I46" i="10"/>
  <c r="I52" i="10"/>
  <c r="I65" i="10"/>
  <c r="J52" i="10"/>
  <c r="J61" i="10"/>
  <c r="J56" i="10"/>
  <c r="J51" i="10"/>
  <c r="J68" i="10"/>
  <c r="J48" i="10"/>
  <c r="J64" i="10"/>
  <c r="D24" i="15"/>
  <c r="I24" i="15"/>
  <c r="I21" i="15"/>
  <c r="D16" i="25"/>
  <c r="E16" i="25"/>
  <c r="C19" i="15"/>
  <c r="J19" i="15" s="1"/>
  <c r="C18" i="15"/>
  <c r="J18" i="15" s="1"/>
  <c r="C17" i="15"/>
  <c r="A15" i="25" s="1"/>
  <c r="I17" i="15"/>
  <c r="D15" i="25" s="1"/>
  <c r="I18" i="15"/>
  <c r="D13" i="25" s="1"/>
  <c r="I19" i="15"/>
  <c r="D17" i="25" s="1"/>
  <c r="I16" i="15"/>
  <c r="D14" i="25" s="1"/>
  <c r="E14" i="25" s="1"/>
  <c r="C7" i="15"/>
  <c r="J24" i="15" s="1"/>
  <c r="K24" i="15" s="1"/>
  <c r="K36" i="15" s="1"/>
  <c r="J27" i="15"/>
  <c r="J26" i="15"/>
  <c r="K26" i="15" s="1"/>
  <c r="J25" i="15"/>
  <c r="J21" i="15"/>
  <c r="K21" i="15" s="1"/>
  <c r="J22" i="15"/>
  <c r="J20" i="15"/>
  <c r="J16" i="15"/>
  <c r="N19" i="15"/>
  <c r="I11" i="15"/>
  <c r="I10" i="15"/>
  <c r="L14" i="25" s="1"/>
  <c r="D36" i="25" s="1"/>
  <c r="E36" i="25" s="1"/>
  <c r="I22" i="15"/>
  <c r="E12" i="25"/>
  <c r="D11" i="25"/>
  <c r="E11" i="25" s="1"/>
  <c r="L13" i="25"/>
  <c r="G31" i="10"/>
  <c r="H31" i="10" s="1"/>
  <c r="J31" i="10" s="1"/>
  <c r="G12" i="10"/>
  <c r="H12" i="10" s="1"/>
  <c r="J12" i="10" s="1"/>
  <c r="G4" i="10"/>
  <c r="H4" i="10" s="1"/>
  <c r="J4" i="10" s="1"/>
  <c r="G3" i="10"/>
  <c r="H3" i="10" s="1"/>
  <c r="J3" i="10" s="1"/>
  <c r="G11" i="10"/>
  <c r="H11" i="10" s="1"/>
  <c r="J11" i="10" s="1"/>
  <c r="G5" i="10"/>
  <c r="H5" i="10" s="1"/>
  <c r="J5" i="10" s="1"/>
  <c r="G29" i="10"/>
  <c r="H29" i="10" s="1"/>
  <c r="J29" i="10" s="1"/>
  <c r="G26" i="10"/>
  <c r="H26" i="10" s="1"/>
  <c r="J26" i="10" s="1"/>
  <c r="G23" i="10"/>
  <c r="H23" i="10" s="1"/>
  <c r="J23" i="10" s="1"/>
  <c r="G19" i="10"/>
  <c r="H19" i="10" s="1"/>
  <c r="J19" i="10" s="1"/>
  <c r="G38" i="10"/>
  <c r="H38" i="10" s="1"/>
  <c r="J38" i="10" s="1"/>
  <c r="G35" i="10"/>
  <c r="H35" i="10" s="1"/>
  <c r="J35" i="10" s="1"/>
  <c r="G34" i="10"/>
  <c r="I34" i="10" s="1"/>
  <c r="G44" i="10"/>
  <c r="H44" i="10" s="1"/>
  <c r="J44" i="10" s="1"/>
  <c r="G42" i="10"/>
  <c r="H42" i="10" s="1"/>
  <c r="J42" i="10" s="1"/>
  <c r="G30" i="10"/>
  <c r="H30" i="10" s="1"/>
  <c r="J30" i="10" s="1"/>
  <c r="G15" i="10"/>
  <c r="H15" i="10" s="1"/>
  <c r="J15" i="10" s="1"/>
  <c r="G13" i="10"/>
  <c r="I13" i="10" s="1"/>
  <c r="G20" i="10"/>
  <c r="I20" i="10" s="1"/>
  <c r="G18" i="10"/>
  <c r="H18" i="10" s="1"/>
  <c r="J18" i="10" s="1"/>
  <c r="G37" i="10"/>
  <c r="H37" i="10" s="1"/>
  <c r="J37" i="10" s="1"/>
  <c r="G33" i="10"/>
  <c r="I33" i="10" s="1"/>
  <c r="G41" i="10"/>
  <c r="I41" i="10" s="1"/>
  <c r="K16" i="15"/>
  <c r="I26" i="10"/>
  <c r="I19" i="10"/>
  <c r="H40" i="10" l="1"/>
  <c r="J40" i="10" s="1"/>
  <c r="I40" i="10"/>
  <c r="H53" i="10"/>
  <c r="J53" i="10" s="1"/>
  <c r="I53" i="10"/>
  <c r="H59" i="10"/>
  <c r="J59" i="10" s="1"/>
  <c r="I59" i="10"/>
  <c r="H62" i="10"/>
  <c r="J62" i="10" s="1"/>
  <c r="I62" i="10"/>
  <c r="I68" i="10"/>
  <c r="I60" i="10"/>
  <c r="H41" i="10"/>
  <c r="J41" i="10" s="1"/>
  <c r="I3" i="10"/>
  <c r="H22" i="10"/>
  <c r="J22" i="10" s="1"/>
  <c r="I22" i="10"/>
  <c r="H67" i="10"/>
  <c r="J67" i="10" s="1"/>
  <c r="I67" i="10"/>
  <c r="H10" i="10"/>
  <c r="J10" i="10" s="1"/>
  <c r="I10" i="10"/>
  <c r="I16" i="10"/>
  <c r="H16" i="10"/>
  <c r="J16" i="10" s="1"/>
  <c r="H58" i="10"/>
  <c r="J58" i="10" s="1"/>
  <c r="I58" i="10"/>
  <c r="I57" i="10"/>
  <c r="H27" i="10"/>
  <c r="J27" i="10" s="1"/>
  <c r="I27" i="10"/>
  <c r="I4" i="10"/>
  <c r="I51" i="10"/>
  <c r="I11" i="10"/>
  <c r="I14" i="10"/>
  <c r="I23" i="10"/>
  <c r="I42" i="10"/>
  <c r="I5" i="10"/>
  <c r="I50" i="10"/>
  <c r="I49" i="10"/>
  <c r="J19" i="20"/>
  <c r="J19" i="7" s="1"/>
  <c r="K19" i="7" s="1"/>
  <c r="H36" i="10"/>
  <c r="J36" i="10" s="1"/>
  <c r="I36" i="10"/>
  <c r="I28" i="10"/>
  <c r="H28" i="10"/>
  <c r="J28" i="10" s="1"/>
  <c r="H55" i="10"/>
  <c r="J55" i="10" s="1"/>
  <c r="I55" i="10"/>
  <c r="I18" i="10"/>
  <c r="I37" i="10"/>
  <c r="I43" i="10"/>
  <c r="I38" i="10"/>
  <c r="H34" i="10"/>
  <c r="J34" i="10" s="1"/>
  <c r="I31" i="10"/>
  <c r="I44" i="10"/>
  <c r="I30" i="10"/>
  <c r="I32" i="10"/>
  <c r="I29" i="10"/>
  <c r="I12" i="10"/>
  <c r="H13" i="10"/>
  <c r="J13" i="10" s="1"/>
  <c r="I63" i="10"/>
  <c r="L13" i="10"/>
  <c r="E2" i="12"/>
  <c r="E2" i="18" s="1"/>
  <c r="E2" i="13" s="1"/>
  <c r="L39" i="12"/>
  <c r="L39" i="18" s="1"/>
  <c r="L39" i="13" s="1"/>
  <c r="D39" i="12"/>
  <c r="D39" i="18" s="1"/>
  <c r="D39" i="13" s="1"/>
  <c r="I34" i="12"/>
  <c r="I34" i="18" s="1"/>
  <c r="I34" i="13" s="1"/>
  <c r="L45" i="10"/>
  <c r="L10" i="10"/>
  <c r="O24" i="12"/>
  <c r="O24" i="18" s="1"/>
  <c r="O24" i="13" s="1"/>
  <c r="K24" i="12"/>
  <c r="K24" i="18" s="1"/>
  <c r="K24" i="13" s="1"/>
  <c r="G24" i="12"/>
  <c r="G24" i="18" s="1"/>
  <c r="G24" i="13" s="1"/>
  <c r="C24" i="12"/>
  <c r="C24" i="18" s="1"/>
  <c r="C24" i="13" s="1"/>
  <c r="M22" i="12"/>
  <c r="M22" i="18" s="1"/>
  <c r="M22" i="13" s="1"/>
  <c r="F22" i="12"/>
  <c r="F22" i="18" s="1"/>
  <c r="F22" i="13" s="1"/>
  <c r="B22" i="12"/>
  <c r="B22" i="18" s="1"/>
  <c r="B22" i="13" s="1"/>
  <c r="M14" i="12"/>
  <c r="M14" i="18" s="1"/>
  <c r="M14" i="13" s="1"/>
  <c r="I14" i="12"/>
  <c r="I14" i="18" s="1"/>
  <c r="I14" i="13" s="1"/>
  <c r="F14" i="12"/>
  <c r="F14" i="18" s="1"/>
  <c r="F14" i="13" s="1"/>
  <c r="B14" i="12"/>
  <c r="B14" i="18" s="1"/>
  <c r="B14" i="13" s="1"/>
  <c r="L53" i="10"/>
  <c r="L14" i="10"/>
  <c r="E36" i="12"/>
  <c r="E36" i="18" s="1"/>
  <c r="E36" i="13" s="1"/>
  <c r="C18" i="12"/>
  <c r="C18" i="18" s="1"/>
  <c r="C18" i="13" s="1"/>
  <c r="M40" i="12"/>
  <c r="M40" i="18" s="1"/>
  <c r="M40" i="13" s="1"/>
  <c r="G40" i="12"/>
  <c r="G40" i="18" s="1"/>
  <c r="G40" i="13" s="1"/>
  <c r="L11" i="10"/>
  <c r="M34" i="12"/>
  <c r="M34" i="18" s="1"/>
  <c r="M34" i="13" s="1"/>
  <c r="L7" i="10"/>
  <c r="O34" i="12"/>
  <c r="O34" i="18" s="1"/>
  <c r="O34" i="13" s="1"/>
  <c r="J34" i="12"/>
  <c r="J34" i="18" s="1"/>
  <c r="J34" i="13" s="1"/>
  <c r="L19" i="10"/>
  <c r="N24" i="12"/>
  <c r="N24" i="18" s="1"/>
  <c r="N24" i="13" s="1"/>
  <c r="J24" i="12"/>
  <c r="J24" i="18" s="1"/>
  <c r="J24" i="13" s="1"/>
  <c r="F24" i="12"/>
  <c r="F24" i="18" s="1"/>
  <c r="F24" i="13" s="1"/>
  <c r="B24" i="12"/>
  <c r="B24" i="18" s="1"/>
  <c r="B24" i="13" s="1"/>
  <c r="L22" i="12"/>
  <c r="L22" i="18" s="1"/>
  <c r="L22" i="13" s="1"/>
  <c r="I22" i="12"/>
  <c r="I22" i="18" s="1"/>
  <c r="I22" i="13" s="1"/>
  <c r="E22" i="12"/>
  <c r="E22" i="18" s="1"/>
  <c r="E22" i="13" s="1"/>
  <c r="L14" i="12"/>
  <c r="L14" i="18" s="1"/>
  <c r="L14" i="13" s="1"/>
  <c r="H14" i="12"/>
  <c r="H14" i="18" s="1"/>
  <c r="H14" i="13" s="1"/>
  <c r="E14" i="12"/>
  <c r="E14" i="18" s="1"/>
  <c r="E14" i="13" s="1"/>
  <c r="B2" i="12"/>
  <c r="B2" i="18" s="1"/>
  <c r="B2" i="13" s="1"/>
  <c r="C5" i="12"/>
  <c r="C5" i="18" s="1"/>
  <c r="C5" i="13" s="1"/>
  <c r="I45" i="12"/>
  <c r="I45" i="18" s="1"/>
  <c r="I45" i="13" s="1"/>
  <c r="L45" i="12"/>
  <c r="L45" i="18" s="1"/>
  <c r="L45" i="13" s="1"/>
  <c r="O45" i="12"/>
  <c r="O45" i="18" s="1"/>
  <c r="O45" i="13" s="1"/>
  <c r="C16" i="12"/>
  <c r="C16" i="18" s="1"/>
  <c r="C16" i="13" s="1"/>
  <c r="H39" i="12"/>
  <c r="H39" i="18" s="1"/>
  <c r="H39" i="13" s="1"/>
  <c r="L4" i="10"/>
  <c r="L23" i="10"/>
  <c r="M24" i="12"/>
  <c r="M24" i="18" s="1"/>
  <c r="M24" i="13" s="1"/>
  <c r="I24" i="12"/>
  <c r="I24" i="18" s="1"/>
  <c r="I24" i="13" s="1"/>
  <c r="E24" i="12"/>
  <c r="E24" i="18" s="1"/>
  <c r="E24" i="13" s="1"/>
  <c r="O22" i="12"/>
  <c r="O22" i="18" s="1"/>
  <c r="O22" i="13" s="1"/>
  <c r="K22" i="12"/>
  <c r="K22" i="18" s="1"/>
  <c r="K22" i="13" s="1"/>
  <c r="H22" i="12"/>
  <c r="H22" i="18" s="1"/>
  <c r="H22" i="13" s="1"/>
  <c r="D22" i="12"/>
  <c r="D22" i="18" s="1"/>
  <c r="D22" i="13" s="1"/>
  <c r="O14" i="12"/>
  <c r="O14" i="18" s="1"/>
  <c r="O14" i="13" s="1"/>
  <c r="K14" i="12"/>
  <c r="K14" i="18" s="1"/>
  <c r="K14" i="13" s="1"/>
  <c r="D14" i="12"/>
  <c r="D14" i="18" s="1"/>
  <c r="D14" i="13" s="1"/>
  <c r="F25" i="10"/>
  <c r="G25" i="10" s="1"/>
  <c r="F21" i="10"/>
  <c r="G21" i="10" s="1"/>
  <c r="K29" i="15"/>
  <c r="J17" i="15"/>
  <c r="C15" i="25" s="1"/>
  <c r="E15" i="25" s="1"/>
  <c r="C17" i="25"/>
  <c r="K19" i="15"/>
  <c r="I35" i="10"/>
  <c r="I15" i="10"/>
  <c r="H39" i="10"/>
  <c r="J39" i="10" s="1"/>
  <c r="H33" i="10"/>
  <c r="J33" i="10" s="1"/>
  <c r="H20" i="10"/>
  <c r="J20" i="10" s="1"/>
  <c r="H24" i="10"/>
  <c r="J24" i="10" s="1"/>
  <c r="E17" i="25"/>
  <c r="K22" i="15"/>
  <c r="B41" i="12"/>
  <c r="B41" i="18" s="1"/>
  <c r="B41" i="13" s="1"/>
  <c r="D41" i="12"/>
  <c r="D41" i="18" s="1"/>
  <c r="D41" i="13" s="1"/>
  <c r="F41" i="12"/>
  <c r="F41" i="18" s="1"/>
  <c r="F41" i="13" s="1"/>
  <c r="H41" i="12"/>
  <c r="H41" i="18" s="1"/>
  <c r="H41" i="13" s="1"/>
  <c r="J41" i="12"/>
  <c r="J41" i="18" s="1"/>
  <c r="J41" i="13" s="1"/>
  <c r="L41" i="12"/>
  <c r="L41" i="18" s="1"/>
  <c r="L41" i="13" s="1"/>
  <c r="N41" i="12"/>
  <c r="N41" i="18" s="1"/>
  <c r="N41" i="13" s="1"/>
  <c r="K25" i="20"/>
  <c r="E53" i="12"/>
  <c r="E53" i="18" s="1"/>
  <c r="E53" i="13" s="1"/>
  <c r="N53" i="12"/>
  <c r="N53" i="18" s="1"/>
  <c r="N53" i="13" s="1"/>
  <c r="F53" i="12"/>
  <c r="F53" i="18" s="1"/>
  <c r="F53" i="13" s="1"/>
  <c r="K53" i="12"/>
  <c r="K53" i="18" s="1"/>
  <c r="K53" i="13" s="1"/>
  <c r="C53" i="12"/>
  <c r="C53" i="18" s="1"/>
  <c r="C53" i="13" s="1"/>
  <c r="H53" i="12"/>
  <c r="H53" i="18" s="1"/>
  <c r="H53" i="13" s="1"/>
  <c r="L54" i="10"/>
  <c r="K27" i="15"/>
  <c r="E37" i="12"/>
  <c r="E37" i="18" s="1"/>
  <c r="E37" i="13" s="1"/>
  <c r="I37" i="12"/>
  <c r="I37" i="18" s="1"/>
  <c r="I37" i="13" s="1"/>
  <c r="M37" i="12"/>
  <c r="M37" i="18" s="1"/>
  <c r="M37" i="13" s="1"/>
  <c r="F8" i="10"/>
  <c r="G8" i="10" s="1"/>
  <c r="L8" i="10"/>
  <c r="B40" i="12"/>
  <c r="B40" i="18" s="1"/>
  <c r="B40" i="13" s="1"/>
  <c r="D40" i="12"/>
  <c r="D40" i="18" s="1"/>
  <c r="D40" i="13" s="1"/>
  <c r="F40" i="12"/>
  <c r="F40" i="18" s="1"/>
  <c r="F40" i="13" s="1"/>
  <c r="H40" i="12"/>
  <c r="H40" i="18" s="1"/>
  <c r="H40" i="13" s="1"/>
  <c r="J40" i="12"/>
  <c r="J40" i="18" s="1"/>
  <c r="J40" i="13" s="1"/>
  <c r="L40" i="12"/>
  <c r="L40" i="18" s="1"/>
  <c r="L40" i="13" s="1"/>
  <c r="N40" i="12"/>
  <c r="N40" i="18" s="1"/>
  <c r="N40" i="13" s="1"/>
  <c r="N34" i="12"/>
  <c r="N34" i="18" s="1"/>
  <c r="N34" i="13" s="1"/>
  <c r="F34" i="12"/>
  <c r="F34" i="18" s="1"/>
  <c r="F34" i="13" s="1"/>
  <c r="K34" i="12"/>
  <c r="K34" i="18" s="1"/>
  <c r="K34" i="13" s="1"/>
  <c r="C34" i="12"/>
  <c r="C34" i="18" s="1"/>
  <c r="C34" i="13" s="1"/>
  <c r="L34" i="12"/>
  <c r="L34" i="18" s="1"/>
  <c r="L34" i="13" s="1"/>
  <c r="D34" i="12"/>
  <c r="D34" i="18" s="1"/>
  <c r="D34" i="13" s="1"/>
  <c r="F66" i="10"/>
  <c r="G66" i="10" s="1"/>
  <c r="J65" i="12"/>
  <c r="J65" i="18" s="1"/>
  <c r="J65" i="13" s="1"/>
  <c r="B65" i="12"/>
  <c r="B65" i="18" s="1"/>
  <c r="B65" i="13" s="1"/>
  <c r="N65" i="12"/>
  <c r="N65" i="18" s="1"/>
  <c r="N65" i="13" s="1"/>
  <c r="M65" i="12"/>
  <c r="M65" i="18" s="1"/>
  <c r="M65" i="13" s="1"/>
  <c r="E65" i="12"/>
  <c r="E65" i="18" s="1"/>
  <c r="E65" i="13" s="1"/>
  <c r="G17" i="10"/>
  <c r="L17" i="10"/>
  <c r="K25" i="15"/>
  <c r="L3" i="10"/>
  <c r="D35" i="12"/>
  <c r="D35" i="18" s="1"/>
  <c r="D35" i="13" s="1"/>
  <c r="L35" i="12"/>
  <c r="L35" i="18" s="1"/>
  <c r="L35" i="13" s="1"/>
  <c r="F6" i="10"/>
  <c r="G6" i="10" s="1"/>
  <c r="C38" i="12"/>
  <c r="C38" i="18" s="1"/>
  <c r="C38" i="13" s="1"/>
  <c r="F47" i="10"/>
  <c r="G47" i="10" s="1"/>
  <c r="L47" i="10"/>
  <c r="J23" i="20"/>
  <c r="K23" i="20" s="1"/>
  <c r="K27" i="20"/>
  <c r="K37" i="15"/>
  <c r="K23" i="15"/>
  <c r="K35" i="15" s="1"/>
  <c r="L18" i="25" s="1"/>
  <c r="A13" i="25"/>
  <c r="K17" i="20"/>
  <c r="C13" i="25"/>
  <c r="E13" i="25" s="1"/>
  <c r="K18" i="15"/>
  <c r="E47" i="25"/>
  <c r="K15" i="15"/>
  <c r="J21" i="20"/>
  <c r="K21" i="20" s="1"/>
  <c r="J23" i="7"/>
  <c r="K23" i="7" s="1"/>
  <c r="J18" i="20"/>
  <c r="J18" i="7" s="1"/>
  <c r="K18" i="7" s="1"/>
  <c r="I20" i="15"/>
  <c r="K20" i="15" s="1"/>
  <c r="J16" i="7"/>
  <c r="K16" i="7" s="1"/>
  <c r="K16" i="20"/>
  <c r="N22" i="15"/>
  <c r="K14" i="20"/>
  <c r="N18" i="15"/>
  <c r="N21" i="15" s="1"/>
  <c r="L15" i="25"/>
  <c r="N20" i="15"/>
  <c r="K14" i="15" s="1"/>
  <c r="K33" i="15" s="1"/>
  <c r="K19" i="20" l="1"/>
  <c r="H25" i="10"/>
  <c r="J25" i="10" s="1"/>
  <c r="I25" i="10"/>
  <c r="I21" i="10"/>
  <c r="H21" i="10"/>
  <c r="J21" i="10" s="1"/>
  <c r="K18" i="20"/>
  <c r="K17" i="15"/>
  <c r="E29" i="25"/>
  <c r="E49" i="25" s="1"/>
  <c r="K34" i="15"/>
  <c r="K38" i="15" s="1"/>
  <c r="H47" i="10"/>
  <c r="J47" i="10" s="1"/>
  <c r="I47" i="10"/>
  <c r="H6" i="10"/>
  <c r="J6" i="10" s="1"/>
  <c r="I6" i="10"/>
  <c r="H66" i="10"/>
  <c r="J66" i="10" s="1"/>
  <c r="I66" i="10"/>
  <c r="H17" i="10"/>
  <c r="J17" i="10" s="1"/>
  <c r="I17" i="10"/>
  <c r="J21" i="7"/>
  <c r="K21" i="7" s="1"/>
  <c r="H8" i="10"/>
  <c r="J8" i="10" s="1"/>
  <c r="I8" i="10"/>
  <c r="K31" i="20"/>
  <c r="K33" i="20" s="1"/>
  <c r="C8" i="16" s="1"/>
  <c r="C4" i="23" s="1"/>
  <c r="K14" i="7"/>
  <c r="K31" i="7" l="1"/>
  <c r="K33" i="7" s="1"/>
  <c r="P33" i="7" s="1"/>
  <c r="C6" i="23" s="1"/>
  <c r="C4" i="16"/>
  <c r="C5" i="16" s="1"/>
  <c r="C9" i="16" l="1"/>
  <c r="C10" i="16" s="1"/>
  <c r="C5" i="23" l="1"/>
  <c r="C7" i="23" s="1"/>
</calcChain>
</file>

<file path=xl/connections.xml><?xml version="1.0" encoding="utf-8"?>
<connections xmlns="http://schemas.openxmlformats.org/spreadsheetml/2006/main">
  <connection id="1" name="Подключение" type="4" refreshedVersion="3" background="1" saveData="1">
    <webPr sourceData="1" parsePre="1" consecutive="1" xl2000="1" url="http://www.finmarket.ru/currency/rates"/>
  </connection>
</connections>
</file>

<file path=xl/sharedStrings.xml><?xml version="1.0" encoding="utf-8"?>
<sst xmlns="http://schemas.openxmlformats.org/spreadsheetml/2006/main" count="770" uniqueCount="294">
  <si>
    <t>№</t>
  </si>
  <si>
    <t>Наименование</t>
  </si>
  <si>
    <t>Ед. изм.</t>
  </si>
  <si>
    <t>Кол-во</t>
  </si>
  <si>
    <t>Площадь стеновой панели</t>
  </si>
  <si>
    <t>Вырез под варочную панель</t>
  </si>
  <si>
    <t>Монтаж изделия</t>
  </si>
  <si>
    <t>Итого:</t>
  </si>
  <si>
    <t>шт.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</si>
  <si>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</si>
  <si>
    <t>Corian-1</t>
  </si>
  <si>
    <t>Corian-2</t>
  </si>
  <si>
    <t>Corian-3</t>
  </si>
  <si>
    <t>Corian-4</t>
  </si>
  <si>
    <t>Hi-macs SOLID</t>
  </si>
  <si>
    <t>Hi-macs LUCENT</t>
  </si>
  <si>
    <r>
      <t>Hi-macs SAND</t>
    </r>
    <r>
      <rPr>
        <sz val="11"/>
        <color theme="1"/>
        <rFont val="Calibri"/>
        <family val="2"/>
        <charset val="204"/>
      </rPr>
      <t>&amp;PEARL</t>
    </r>
  </si>
  <si>
    <t>Hi-macs QUARTZ</t>
  </si>
  <si>
    <t>Hi-macs GRANITE</t>
  </si>
  <si>
    <t>Hi-macs VOLCANICS</t>
  </si>
  <si>
    <t>Hi-macs GALAXY</t>
  </si>
  <si>
    <t>Hi-macs MARMO</t>
  </si>
  <si>
    <t>Материал:</t>
  </si>
  <si>
    <t>Материал</t>
  </si>
  <si>
    <t>Цена за ед.</t>
  </si>
  <si>
    <t>м.п.</t>
  </si>
  <si>
    <t>Akrillika A, B</t>
  </si>
  <si>
    <t>Akrillika C, D</t>
  </si>
  <si>
    <t>Akrillika E, G</t>
  </si>
  <si>
    <t>Akrillika F</t>
  </si>
  <si>
    <t>Tristone T</t>
  </si>
  <si>
    <t>Tristone B</t>
  </si>
  <si>
    <t>Стыковка столешницы на адресе</t>
  </si>
  <si>
    <t>Проточка для стока воды</t>
  </si>
  <si>
    <t>Скидка:</t>
  </si>
  <si>
    <t>Цена со скидкой:</t>
  </si>
  <si>
    <t>Изготовление столешницы и стеновых панелей (подоконников)</t>
  </si>
  <si>
    <t>Apietra М1</t>
  </si>
  <si>
    <t>Apietra М2</t>
  </si>
  <si>
    <t>Apietra М3</t>
  </si>
  <si>
    <t>ООО "Энерголин", ИНН 7814559383, КПП 781401001
Санкт-Петербург, пл. Карла Фаберже, д.8, лит. Б, БЦ "Мебель Холл", оф. 508
тел: 8 (800) 333-27-50    8 (812) 424-16-80     e-mail: info@kamenmag.ru
www.kamenmag.ru</t>
  </si>
  <si>
    <t>Площадь поверхности изделия</t>
  </si>
  <si>
    <t>Кромка</t>
  </si>
  <si>
    <t>Мойка интегрированная</t>
  </si>
  <si>
    <t>Подгиб</t>
  </si>
  <si>
    <t>Вырез под мойку</t>
  </si>
  <si>
    <t>Бортик</t>
  </si>
  <si>
    <t>Накладной</t>
  </si>
  <si>
    <t>Интегрированный</t>
  </si>
  <si>
    <t>Стандартная</t>
  </si>
  <si>
    <t>Фигурная</t>
  </si>
  <si>
    <t>Антиперелив</t>
  </si>
  <si>
    <t>Прочие дополнительные работы</t>
  </si>
  <si>
    <t>Подставка под горячее</t>
  </si>
  <si>
    <t>Тип_кромки</t>
  </si>
  <si>
    <t>без монтажа мойки</t>
  </si>
  <si>
    <t>с подстольным монтажом мойки</t>
  </si>
  <si>
    <t>с монтажом интегрированной мойки</t>
  </si>
  <si>
    <t>Вырез_под_мойку</t>
  </si>
  <si>
    <t>Себестоимость</t>
  </si>
  <si>
    <t xml:space="preserve"> С накруткой</t>
  </si>
  <si>
    <t>цена для партнеров</t>
  </si>
  <si>
    <t>Стеновая, руб/м2</t>
  </si>
  <si>
    <t>Столешница, руб/м2</t>
  </si>
  <si>
    <t>накрутка партнеров</t>
  </si>
  <si>
    <t>накрутка наша</t>
  </si>
  <si>
    <t>курс доллара</t>
  </si>
  <si>
    <t>Montelli A. B</t>
  </si>
  <si>
    <t>Montelli C</t>
  </si>
  <si>
    <t>Montelli D</t>
  </si>
  <si>
    <t>Tristone A (Кроме А-203)</t>
  </si>
  <si>
    <t>Магия Камня</t>
  </si>
  <si>
    <t>Доставка, подъемка без лифта (до 5 этажа)</t>
  </si>
  <si>
    <t>Цена для партнеров, руб.</t>
  </si>
  <si>
    <t>Оплата работникам, руб.</t>
  </si>
  <si>
    <t>Радиусные элементы (более 25мм)</t>
  </si>
  <si>
    <t>Демонтаж изделия</t>
  </si>
  <si>
    <t>Проточка для стока воды (за 1 проточку)</t>
  </si>
  <si>
    <t>Подставка под горячее (за комплект)</t>
  </si>
  <si>
    <t>Прочие дополнительные работы и материалы</t>
  </si>
  <si>
    <t>Изготовление изделий</t>
  </si>
  <si>
    <t>Цена</t>
  </si>
  <si>
    <t>Монтаж стеновой</t>
  </si>
  <si>
    <t>Демонтаж изделия (подоконник, столешница)</t>
  </si>
  <si>
    <t>н/д</t>
  </si>
  <si>
    <t>накрутка</t>
  </si>
  <si>
    <t>Omega 853</t>
  </si>
  <si>
    <t>Omega 809</t>
  </si>
  <si>
    <t>Omega 851</t>
  </si>
  <si>
    <t>Omega 813</t>
  </si>
  <si>
    <t>Omega 871</t>
  </si>
  <si>
    <t>Omega 410</t>
  </si>
  <si>
    <t>Omega 752</t>
  </si>
  <si>
    <t>Omega 767</t>
  </si>
  <si>
    <t>Omega 778</t>
  </si>
  <si>
    <t>Omega 450</t>
  </si>
  <si>
    <t>Omega 600</t>
  </si>
  <si>
    <t>Triumph 101</t>
  </si>
  <si>
    <t>Triumph 103</t>
  </si>
  <si>
    <t>Triumph 104</t>
  </si>
  <si>
    <t>Отсутствует</t>
  </si>
  <si>
    <t>Количество слебов, шт.</t>
  </si>
  <si>
    <t>Площадь материала для заказа, м2</t>
  </si>
  <si>
    <t>Потребная площадь листов (+10%), м2</t>
  </si>
  <si>
    <t>Количество слебов с округлением, шт.</t>
  </si>
  <si>
    <t>Площадь слеба, м2</t>
  </si>
  <si>
    <t>Стоимость слебов, руб.</t>
  </si>
  <si>
    <t>себестоимость 1м2 в руб.</t>
  </si>
  <si>
    <t>Стоимость клея</t>
  </si>
  <si>
    <t>Калькуляция</t>
  </si>
  <si>
    <t>Стоимость материалов</t>
  </si>
  <si>
    <t>Цена за работы</t>
  </si>
  <si>
    <t>м2</t>
  </si>
  <si>
    <t>Площадь изделия для расчета зарплаты</t>
  </si>
  <si>
    <t>Площадь стеновоя для расчета зарплаты</t>
  </si>
  <si>
    <t>Стоимость изготовления 1м2 изделия</t>
  </si>
  <si>
    <t>Стоимость изготовления 1м2 истеновой</t>
  </si>
  <si>
    <t>Изготовление изделия по площади</t>
  </si>
  <si>
    <t>-</t>
  </si>
  <si>
    <t>Монтаж изделия по площади</t>
  </si>
  <si>
    <t>Монтаж стеновой по площади</t>
  </si>
  <si>
    <t>Доставка (c подъемкой без лифта до 5 этажа)</t>
  </si>
  <si>
    <t>Замер</t>
  </si>
  <si>
    <t>Итого материалы:</t>
  </si>
  <si>
    <t>Итого работы:</t>
  </si>
  <si>
    <t>Доставка:</t>
  </si>
  <si>
    <t>Прочие:</t>
  </si>
  <si>
    <t>ИТОГО:</t>
  </si>
  <si>
    <t>Мойка:</t>
  </si>
  <si>
    <t>накрутка партнеров, %</t>
  </si>
  <si>
    <t>&lt; задать</t>
  </si>
  <si>
    <t>Цена с накруткой, руб.</t>
  </si>
  <si>
    <t>Tristone TS, MT</t>
  </si>
  <si>
    <t xml:space="preserve">Приложение № 1 </t>
  </si>
  <si>
    <t>Генеральный директор:</t>
  </si>
  <si>
    <t>Заказчик:</t>
  </si>
  <si>
    <t>_________ /_______________________ /</t>
  </si>
  <si>
    <t>Ф.И.О.</t>
  </si>
  <si>
    <t>"          "  ___________________ 20_____ г.</t>
  </si>
  <si>
    <t>"          "  __________________ 20____г.</t>
  </si>
  <si>
    <t>себестоимость 1 м2</t>
  </si>
  <si>
    <t>для списка</t>
  </si>
  <si>
    <t>Радиусные элементы (более 25мм) (шт. или м.п.)</t>
  </si>
  <si>
    <t>шт./м.п.</t>
  </si>
  <si>
    <t>Спецификация</t>
  </si>
  <si>
    <t>к договору №</t>
  </si>
  <si>
    <t>от "___" ____________ 20___г.</t>
  </si>
  <si>
    <t>Samsung Sanded</t>
  </si>
  <si>
    <t>Samsung Aspen</t>
  </si>
  <si>
    <t>Samsung Pebble</t>
  </si>
  <si>
    <t>Samsung Metallic</t>
  </si>
  <si>
    <t>Samsung Solid</t>
  </si>
  <si>
    <t>Samsung Quarry</t>
  </si>
  <si>
    <t>Samsung Mosaic</t>
  </si>
  <si>
    <t>Samsung Tempest</t>
  </si>
  <si>
    <t>Grandex P</t>
  </si>
  <si>
    <t>Grandex J</t>
  </si>
  <si>
    <t>Grandex E</t>
  </si>
  <si>
    <t>Hanex Solo</t>
  </si>
  <si>
    <t>Hanex Magic</t>
  </si>
  <si>
    <t>Hanex Duo</t>
  </si>
  <si>
    <t>Hanex Cubic</t>
  </si>
  <si>
    <t>Hanex Trio</t>
  </si>
  <si>
    <t>Hanex Pearl</t>
  </si>
  <si>
    <t>Hanex Therapy</t>
  </si>
  <si>
    <t>Hanex Galleria</t>
  </si>
  <si>
    <t>Hanex Glittering</t>
  </si>
  <si>
    <t>Hanex Brionne</t>
  </si>
  <si>
    <t>Hanex Bellassimo</t>
  </si>
  <si>
    <t>Hanex Nativo</t>
  </si>
  <si>
    <t>Grandex S-201, -204, -208, -211</t>
  </si>
  <si>
    <t>Grandex V</t>
  </si>
  <si>
    <t>клей, фанера, в 1м2</t>
  </si>
  <si>
    <t>Клей акриловый (4 тюбика на слеб)</t>
  </si>
  <si>
    <t>прибыль в 1м2</t>
  </si>
  <si>
    <t>накрутка в 1м2</t>
  </si>
  <si>
    <t>накрутка прибыли в 1м2</t>
  </si>
  <si>
    <t>Работы за изготовление</t>
  </si>
  <si>
    <t>Площадь материала</t>
  </si>
  <si>
    <t>Grandex S, D</t>
  </si>
  <si>
    <t>Grandex A</t>
  </si>
  <si>
    <t>искусственно цена завышены, так как нужен спец раскрой</t>
  </si>
  <si>
    <t>Накрутка на себестоимость,%</t>
  </si>
  <si>
    <t>Накрутка салона</t>
  </si>
  <si>
    <t>&lt; задается в setup</t>
  </si>
  <si>
    <t>&lt; задать вручную</t>
  </si>
  <si>
    <t>минимальная прибыль салона</t>
  </si>
  <si>
    <t>дополнительная прибыль салона</t>
  </si>
  <si>
    <t>Общая прибыль салона</t>
  </si>
  <si>
    <t>Прибыль салона</t>
  </si>
  <si>
    <t>Маржа с минимальной прибылью салона, руб.</t>
  </si>
  <si>
    <t>Накрутка от розничной цены,%</t>
  </si>
  <si>
    <t>ООО "Энерголин", ИНН 7814559383, Санкт-Петербург, пл. Карла Фаберже, д.8, лит. Б, БЦ "Мебель Холл", оф. 516
тел: 8 (800) 333-27-50      8 (812) 424-16-80     e-mail: info@kamenmag.ru       www.kamenmag.ru</t>
  </si>
  <si>
    <t>Akrillika FH</t>
  </si>
  <si>
    <t>Akrillika H (KA, DA)</t>
  </si>
  <si>
    <t>Akrillika HI (KA, DA)</t>
  </si>
  <si>
    <t>&lt; задается из 'sys'</t>
  </si>
  <si>
    <t>Hi-macs SAND&amp;PEARL</t>
  </si>
  <si>
    <t>Tristone S, ST, А-203</t>
  </si>
  <si>
    <t>Tristone F</t>
  </si>
  <si>
    <t>не задаем</t>
  </si>
  <si>
    <t>Маржа наша за минусом 10% салона, руб.</t>
  </si>
  <si>
    <t>В калькуляторе для салона в ячейке К14 "Калькулятор себестоимость" в формуле убираем накрутку 5000 руб. и убираем в поле скидка 5000 руб на главном листе "Калькулятор "</t>
  </si>
  <si>
    <t>Стоимость фанеры, силикона и термоклея (700р на 1м2)</t>
  </si>
  <si>
    <r>
      <rPr>
        <b/>
        <sz val="11"/>
        <color theme="1"/>
        <rFont val="Calibri"/>
        <family val="2"/>
        <charset val="204"/>
        <scheme val="minor"/>
      </rPr>
      <t>Исполнитель:</t>
    </r>
    <r>
      <rPr>
        <sz val="11"/>
        <color theme="1"/>
        <rFont val="Calibri"/>
        <family val="2"/>
        <charset val="204"/>
        <scheme val="minor"/>
      </rPr>
      <t xml:space="preserve">  ООО "Энерголин"</t>
    </r>
  </si>
  <si>
    <t>ООО "Энерголин"</t>
  </si>
  <si>
    <t>НАРЯД-ЗАКАЗ
на работу</t>
  </si>
  <si>
    <t>Ф.И.О. мастера</t>
  </si>
  <si>
    <t>Дата начала</t>
  </si>
  <si>
    <t>Дата окончания</t>
  </si>
  <si>
    <t>№ договора (заказа)</t>
  </si>
  <si>
    <t>Заполняется мастером после изготовления при проверке</t>
  </si>
  <si>
    <t>Адрес</t>
  </si>
  <si>
    <t>Наименование работ</t>
  </si>
  <si>
    <t>ед. изм.</t>
  </si>
  <si>
    <t>за ед., руб.</t>
  </si>
  <si>
    <t>кол-во</t>
  </si>
  <si>
    <t>стоимость, руб.</t>
  </si>
  <si>
    <t>Параметр проверки</t>
  </si>
  <si>
    <t>отметка проверки</t>
  </si>
  <si>
    <t>кв. м.</t>
  </si>
  <si>
    <t>Соответствие изделия  шаблону (при наличии)</t>
  </si>
  <si>
    <t>Изготовление стеновой панели</t>
  </si>
  <si>
    <t>Вырез под накладную мойку</t>
  </si>
  <si>
    <t>Радиус более 25мм</t>
  </si>
  <si>
    <t>Наличие и расположение кромок и торцов согласно чек-листа</t>
  </si>
  <si>
    <t>Фигурная кромка</t>
  </si>
  <si>
    <t xml:space="preserve">Полировка </t>
  </si>
  <si>
    <t>Изготовление дощечки</t>
  </si>
  <si>
    <t>Обнижение поля мойки (варки)</t>
  </si>
  <si>
    <t>Вырез под розетку (трубу)</t>
  </si>
  <si>
    <t>Мойка  (вырез под мойку) установлена согласно чек-листа</t>
  </si>
  <si>
    <t>Подставка под горячее (1 проточка)</t>
  </si>
  <si>
    <t>шт. (м.п.)</t>
  </si>
  <si>
    <t>Изготовление мойки квадратной с рад.(инд.размерам.)</t>
  </si>
  <si>
    <t>Изготовление мойки Omega 813</t>
  </si>
  <si>
    <t>Интегрированный бортик (при наличии) не имеет видимых следов склеек</t>
  </si>
  <si>
    <t>Прочие доп. Склейка остатков, заделка отверстий</t>
  </si>
  <si>
    <t>ИТОГО за изготовление</t>
  </si>
  <si>
    <t>С нарядом ознакомлен:</t>
  </si>
  <si>
    <t>Монтаж</t>
  </si>
  <si>
    <t>Мойка заказчика (при наличии) не имеет повреждений (царапин, вмятин)</t>
  </si>
  <si>
    <t>Ф.И.О. монтажника</t>
  </si>
  <si>
    <t>Монтаж изделия (по поверхности), кв. м.</t>
  </si>
  <si>
    <t>Монтаж стеновой панели, кв. м.</t>
  </si>
  <si>
    <t>подпись мастера</t>
  </si>
  <si>
    <t>Подъемка за этаж</t>
  </si>
  <si>
    <t xml:space="preserve"> </t>
  </si>
  <si>
    <t>Демонтаж</t>
  </si>
  <si>
    <t>Бензин (если более 10 км за КАД)</t>
  </si>
  <si>
    <t>Доп работы на монтаже:</t>
  </si>
  <si>
    <t>Вырез под кран (трубу)</t>
  </si>
  <si>
    <t>ИТОГО за монтаж с учетом монтажа верха</t>
  </si>
  <si>
    <t>ИТОГО</t>
  </si>
  <si>
    <t>Остаток материала (Ширина Х Длина) мм</t>
  </si>
  <si>
    <t>Сдал</t>
  </si>
  <si>
    <t>Принял</t>
  </si>
  <si>
    <t>Подложка из цельной фанеры</t>
  </si>
  <si>
    <t>Крепления, уголки, кронштейны, опоры</t>
  </si>
  <si>
    <t>компл.</t>
  </si>
  <si>
    <t>Монтаж столешницы и стеновых панелей</t>
  </si>
  <si>
    <t>Монтаж подоконников (по количеству)</t>
  </si>
  <si>
    <t>под накладной монтаж мойки</t>
  </si>
  <si>
    <t>под монтаж в уровень</t>
  </si>
  <si>
    <t>Монтаж столешницы и стеновых панелей (без подоконников)</t>
  </si>
  <si>
    <t>Монтаж подоконников (шт./2м.п. )</t>
  </si>
  <si>
    <t>либо в штуках, либо каждые 2 м.п.</t>
  </si>
  <si>
    <t>шт./2м.п.</t>
  </si>
  <si>
    <t>Площадь общая, м</t>
  </si>
  <si>
    <t>Площадь пов-ти, м</t>
  </si>
  <si>
    <t>Бортик выполнен согласно чек-листа</t>
  </si>
  <si>
    <t>Цена со скидкой (*):</t>
  </si>
  <si>
    <t>Hi-macs S-028</t>
  </si>
  <si>
    <t>Hi-macs SPARKLE</t>
  </si>
  <si>
    <t>Hi-macs MIDAS</t>
  </si>
  <si>
    <t>Tristone V</t>
  </si>
  <si>
    <t>Grandex P-104</t>
  </si>
  <si>
    <t>Grandex P-101, -102, -105</t>
  </si>
  <si>
    <t>Grandex MARMO</t>
  </si>
  <si>
    <t>Hanex Bellassimo Episode 2</t>
  </si>
  <si>
    <t>стоимость слеба (справочно)</t>
  </si>
  <si>
    <t>Корректировка</t>
  </si>
  <si>
    <t>Наличие и расположение бортиков согласно чек-листа</t>
  </si>
  <si>
    <t>Вырез под варочную панель согласно чек-листа</t>
  </si>
  <si>
    <t>Проточка для воды (под батарею, капельник)</t>
  </si>
  <si>
    <t>Слебы расчетное</t>
  </si>
  <si>
    <t>(*) Стоимость верна при курсе доллара по ЦБ РФ меньше 70 рублей</t>
  </si>
  <si>
    <t>___________/Барбашов И.С./</t>
  </si>
  <si>
    <t>Прибыль салона, руб.</t>
  </si>
  <si>
    <t>Отпускная цена салону, руб.</t>
  </si>
  <si>
    <t>Накрутка к материалу, руб.</t>
  </si>
  <si>
    <t>2.8</t>
  </si>
  <si>
    <t>P</t>
  </si>
  <si>
    <t>P от салона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</si>
</sst>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* #,##0.00&quot;р.&quot;_-;\-* #,##0.00&quot;р.&quot;_-;_-* &quot;-&quot;??&quot;р.&quot;_-;_-@_-"/>
    <numFmt numFmtId="165" formatCode="#,##0.00&quot;р.&quot;"/>
    <numFmt numFmtId="166" formatCode="General\ &quot;мм&quot;"/>
    <numFmt numFmtId="168" formatCode="0.000"/>
    <numFmt numFmtId="169" formatCode="0.0%"/>
    <numFmt numFmtId="170" formatCode="0.0000000"/>
    <numFmt numFmtId="172" formatCode="_-* #,##0.00\ [$₽-419]_-;\-* #,##0.00\ [$₽-419]_-;_-* &quot;-&quot;??\ [$₽-419]_-;_-@_-"/>
  </numFmts>
  <fonts count="2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9"/>
      <color theme="0" tint="-0.249977111117893"/>
      <name val="Calibri"/>
      <family val="2"/>
      <charset val="204"/>
      <scheme val="minor"/>
    </font>
    <font>
      <sz val="8"/>
      <color theme="0" tint="-0.249977111117893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26"/>
      <color theme="1"/>
      <name val="Monotype Corsiva"/>
      <family val="4"/>
      <charset val="204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FFCC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EE002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45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0" xfId="0" applyFont="1"/>
    <xf numFmtId="0" fontId="0" fillId="0" borderId="0" xfId="0" applyAlignment="1"/>
    <xf numFmtId="0" fontId="3" fillId="0" borderId="0" xfId="0" applyFont="1" applyAlignment="1"/>
    <xf numFmtId="0" fontId="0" fillId="2" borderId="1" xfId="0" applyFill="1" applyBorder="1"/>
    <xf numFmtId="0" fontId="0" fillId="0" borderId="0" xfId="0" applyBorder="1"/>
    <xf numFmtId="0" fontId="0" fillId="0" borderId="1" xfId="0" applyFill="1" applyBorder="1" applyAlignment="1">
      <alignment horizontal="center"/>
    </xf>
    <xf numFmtId="0" fontId="0" fillId="4" borderId="1" xfId="0" applyFill="1" applyBorder="1"/>
    <xf numFmtId="0" fontId="0" fillId="0" borderId="1" xfId="0" applyFill="1" applyBorder="1"/>
    <xf numFmtId="165" fontId="6" fillId="0" borderId="0" xfId="0" applyNumberFormat="1" applyFont="1" applyProtection="1"/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right"/>
    </xf>
    <xf numFmtId="0" fontId="7" fillId="0" borderId="0" xfId="0" applyNumberFormat="1" applyFont="1" applyProtection="1"/>
    <xf numFmtId="0" fontId="4" fillId="0" borderId="0" xfId="0" applyFont="1" applyBorder="1" applyAlignment="1">
      <alignment horizontal="right"/>
    </xf>
    <xf numFmtId="0" fontId="9" fillId="0" borderId="0" xfId="0" applyFont="1" applyFill="1" applyAlignment="1">
      <alignment vertical="center" wrapText="1"/>
    </xf>
    <xf numFmtId="0" fontId="0" fillId="0" borderId="0" xfId="0" applyFill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9" xfId="0" applyBorder="1"/>
    <xf numFmtId="0" fontId="0" fillId="0" borderId="0" xfId="0" applyFill="1" applyBorder="1" applyAlignment="1"/>
    <xf numFmtId="0" fontId="0" fillId="0" borderId="0" xfId="0" applyFill="1" applyAlignment="1">
      <alignment horizontal="left"/>
    </xf>
    <xf numFmtId="0" fontId="0" fillId="0" borderId="1" xfId="0" applyFill="1" applyBorder="1" applyAlignment="1">
      <alignment horizontal="left"/>
    </xf>
    <xf numFmtId="0" fontId="0" fillId="3" borderId="1" xfId="0" applyFill="1" applyBorder="1" applyAlignment="1">
      <alignment horizontal="center"/>
    </xf>
    <xf numFmtId="0" fontId="0" fillId="0" borderId="2" xfId="0" applyFill="1" applyBorder="1" applyAlignment="1"/>
    <xf numFmtId="0" fontId="11" fillId="0" borderId="0" xfId="0" applyFont="1"/>
    <xf numFmtId="0" fontId="0" fillId="0" borderId="1" xfId="0" applyFill="1" applyBorder="1" applyAlignment="1"/>
    <xf numFmtId="0" fontId="0" fillId="0" borderId="1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8" borderId="1" xfId="0" applyFill="1" applyBorder="1"/>
    <xf numFmtId="10" fontId="0" fillId="0" borderId="1" xfId="2" applyNumberFormat="1" applyFont="1" applyBorder="1"/>
    <xf numFmtId="0" fontId="0" fillId="2" borderId="9" xfId="0" applyFill="1" applyBorder="1"/>
    <xf numFmtId="0" fontId="0" fillId="6" borderId="9" xfId="0" applyFill="1" applyBorder="1"/>
    <xf numFmtId="0" fontId="12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/>
    </xf>
    <xf numFmtId="0" fontId="0" fillId="0" borderId="0" xfId="0" applyNumberForma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>
      <alignment vertical="center" wrapText="1"/>
    </xf>
    <xf numFmtId="0" fontId="0" fillId="0" borderId="0" xfId="0" applyFill="1" applyBorder="1"/>
    <xf numFmtId="0" fontId="4" fillId="0" borderId="0" xfId="0" applyFont="1" applyFill="1" applyBorder="1" applyAlignment="1">
      <alignment horizontal="right"/>
    </xf>
    <xf numFmtId="0" fontId="3" fillId="0" borderId="0" xfId="0" applyFont="1" applyFill="1" applyBorder="1" applyAlignment="1"/>
    <xf numFmtId="0" fontId="13" fillId="0" borderId="0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right"/>
    </xf>
    <xf numFmtId="0" fontId="4" fillId="0" borderId="0" xfId="0" applyFont="1" applyFill="1" applyBorder="1" applyAlignment="1" applyProtection="1">
      <alignment horizontal="right"/>
      <protection locked="0"/>
    </xf>
    <xf numFmtId="0" fontId="0" fillId="0" borderId="0" xfId="0"/>
    <xf numFmtId="166" fontId="0" fillId="0" borderId="0" xfId="0" applyNumberFormat="1"/>
    <xf numFmtId="0" fontId="15" fillId="0" borderId="0" xfId="0" applyNumberFormat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textRotation="90"/>
    </xf>
    <xf numFmtId="9" fontId="0" fillId="0" borderId="0" xfId="2" applyFont="1"/>
    <xf numFmtId="164" fontId="0" fillId="0" borderId="1" xfId="1" applyFont="1" applyFill="1" applyBorder="1" applyProtection="1">
      <protection hidden="1"/>
    </xf>
    <xf numFmtId="164" fontId="0" fillId="0" borderId="1" xfId="1" applyFont="1" applyFill="1" applyBorder="1" applyAlignment="1" applyProtection="1">
      <alignment horizontal="center" vertical="center"/>
    </xf>
    <xf numFmtId="14" fontId="0" fillId="0" borderId="0" xfId="0" applyNumberFormat="1" applyBorder="1" applyAlignment="1" applyProtection="1">
      <protection locked="0" hidden="1"/>
    </xf>
    <xf numFmtId="164" fontId="0" fillId="9" borderId="1" xfId="1" applyFont="1" applyFill="1" applyBorder="1" applyAlignment="1">
      <alignment horizontal="center"/>
    </xf>
    <xf numFmtId="164" fontId="0" fillId="0" borderId="0" xfId="1" applyFont="1"/>
    <xf numFmtId="0" fontId="3" fillId="0" borderId="1" xfId="0" applyFont="1" applyFill="1" applyBorder="1" applyAlignment="1"/>
    <xf numFmtId="0" fontId="3" fillId="0" borderId="0" xfId="0" applyFont="1" applyFill="1" applyAlignment="1"/>
    <xf numFmtId="0" fontId="0" fillId="0" borderId="0" xfId="0" applyFill="1" applyAlignment="1"/>
    <xf numFmtId="0" fontId="13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 wrapText="1"/>
    </xf>
    <xf numFmtId="0" fontId="0" fillId="0" borderId="6" xfId="0" applyFill="1" applyBorder="1"/>
    <xf numFmtId="166" fontId="0" fillId="0" borderId="10" xfId="0" applyNumberFormat="1" applyFill="1" applyBorder="1" applyAlignment="1">
      <alignment horizontal="center"/>
    </xf>
    <xf numFmtId="0" fontId="1" fillId="0" borderId="0" xfId="0" applyFont="1" applyFill="1"/>
    <xf numFmtId="0" fontId="0" fillId="0" borderId="0" xfId="0" applyFill="1" applyAlignment="1">
      <alignment horizontal="right"/>
    </xf>
    <xf numFmtId="14" fontId="0" fillId="0" borderId="0" xfId="0" applyNumberFormat="1" applyFill="1" applyBorder="1" applyAlignment="1" applyProtection="1">
      <protection locked="0" hidden="1"/>
    </xf>
    <xf numFmtId="0" fontId="4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right"/>
    </xf>
    <xf numFmtId="164" fontId="0" fillId="0" borderId="1" xfId="1" applyFont="1" applyBorder="1"/>
    <xf numFmtId="2" fontId="0" fillId="0" borderId="0" xfId="0" applyNumberFormat="1"/>
    <xf numFmtId="2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1" applyNumberFormat="1" applyFont="1" applyFill="1" applyBorder="1"/>
    <xf numFmtId="0" fontId="0" fillId="0" borderId="0" xfId="1" applyNumberFormat="1" applyFont="1" applyFill="1" applyBorder="1"/>
    <xf numFmtId="164" fontId="0" fillId="0" borderId="0" xfId="1" applyFont="1" applyBorder="1"/>
    <xf numFmtId="165" fontId="0" fillId="7" borderId="1" xfId="0" applyNumberFormat="1" applyFill="1" applyBorder="1" applyProtection="1">
      <protection hidden="1"/>
    </xf>
    <xf numFmtId="164" fontId="0" fillId="0" borderId="0" xfId="1" applyFont="1" applyFill="1" applyBorder="1" applyAlignment="1" applyProtection="1">
      <alignment horizontal="center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0" fontId="0" fillId="13" borderId="1" xfId="0" applyFill="1" applyBorder="1" applyAlignment="1">
      <alignment wrapText="1"/>
    </xf>
    <xf numFmtId="9" fontId="0" fillId="13" borderId="1" xfId="2" applyFont="1" applyFill="1" applyBorder="1"/>
    <xf numFmtId="0" fontId="12" fillId="3" borderId="2" xfId="0" applyFont="1" applyFill="1" applyBorder="1" applyAlignment="1">
      <alignment horizontal="center" vertical="center" wrapText="1"/>
    </xf>
    <xf numFmtId="165" fontId="0" fillId="0" borderId="2" xfId="0" applyNumberFormat="1" applyFill="1" applyBorder="1" applyProtection="1">
      <protection hidden="1"/>
    </xf>
    <xf numFmtId="165" fontId="1" fillId="0" borderId="11" xfId="0" applyNumberFormat="1" applyFont="1" applyFill="1" applyBorder="1" applyProtection="1">
      <protection hidden="1"/>
    </xf>
    <xf numFmtId="0" fontId="0" fillId="3" borderId="1" xfId="0" applyFill="1" applyBorder="1"/>
    <xf numFmtId="0" fontId="4" fillId="3" borderId="14" xfId="0" applyFont="1" applyFill="1" applyBorder="1" applyAlignment="1">
      <alignment horizontal="center" vertical="center"/>
    </xf>
    <xf numFmtId="0" fontId="0" fillId="0" borderId="20" xfId="0" applyFill="1" applyBorder="1" applyAlignment="1">
      <alignment horizontal="center"/>
    </xf>
    <xf numFmtId="165" fontId="0" fillId="0" borderId="21" xfId="0" applyNumberFormat="1" applyFill="1" applyBorder="1" applyProtection="1">
      <protection hidden="1"/>
    </xf>
    <xf numFmtId="165" fontId="0" fillId="3" borderId="21" xfId="0" applyNumberFormat="1" applyFill="1" applyBorder="1" applyProtection="1">
      <protection hidden="1"/>
    </xf>
    <xf numFmtId="0" fontId="0" fillId="0" borderId="22" xfId="0" applyFill="1" applyBorder="1" applyAlignment="1">
      <alignment horizontal="center"/>
    </xf>
    <xf numFmtId="165" fontId="0" fillId="3" borderId="24" xfId="0" applyNumberFormat="1" applyFill="1" applyBorder="1" applyProtection="1">
      <protection hidden="1"/>
    </xf>
    <xf numFmtId="0" fontId="0" fillId="0" borderId="5" xfId="0" applyFill="1" applyBorder="1" applyAlignment="1">
      <alignment horizontal="center"/>
    </xf>
    <xf numFmtId="165" fontId="0" fillId="3" borderId="7" xfId="0" applyNumberFormat="1" applyFill="1" applyBorder="1" applyProtection="1">
      <protection hidden="1"/>
    </xf>
    <xf numFmtId="0" fontId="0" fillId="0" borderId="23" xfId="0" applyFill="1" applyBorder="1" applyAlignment="1">
      <alignment horizontal="center"/>
    </xf>
    <xf numFmtId="165" fontId="0" fillId="0" borderId="24" xfId="0" applyNumberFormat="1" applyFill="1" applyBorder="1" applyProtection="1">
      <protection hidden="1"/>
    </xf>
    <xf numFmtId="164" fontId="1" fillId="0" borderId="19" xfId="1" applyFont="1" applyFill="1" applyBorder="1" applyProtection="1">
      <protection hidden="1"/>
    </xf>
    <xf numFmtId="0" fontId="1" fillId="0" borderId="26" xfId="0" applyFont="1" applyFill="1" applyBorder="1" applyAlignment="1">
      <alignment horizontal="right"/>
    </xf>
    <xf numFmtId="164" fontId="1" fillId="3" borderId="12" xfId="1" applyFont="1" applyFill="1" applyBorder="1" applyProtection="1">
      <protection hidden="1"/>
    </xf>
    <xf numFmtId="164" fontId="17" fillId="0" borderId="0" xfId="0" applyNumberFormat="1" applyFont="1" applyFill="1"/>
    <xf numFmtId="0" fontId="1" fillId="0" borderId="1" xfId="0" applyFont="1" applyFill="1" applyBorder="1" applyAlignment="1">
      <alignment horizontal="right"/>
    </xf>
    <xf numFmtId="0" fontId="1" fillId="0" borderId="18" xfId="0" applyFont="1" applyFill="1" applyBorder="1" applyAlignment="1">
      <alignment horizontal="right"/>
    </xf>
    <xf numFmtId="164" fontId="0" fillId="3" borderId="1" xfId="0" applyNumberFormat="1" applyFont="1" applyFill="1" applyBorder="1" applyAlignment="1">
      <alignment horizontal="right"/>
    </xf>
    <xf numFmtId="169" fontId="0" fillId="4" borderId="1" xfId="2" applyNumberFormat="1" applyFont="1" applyFill="1" applyBorder="1" applyAlignment="1">
      <alignment horizontal="right"/>
    </xf>
    <xf numFmtId="0" fontId="12" fillId="0" borderId="18" xfId="0" applyFont="1" applyFill="1" applyBorder="1" applyAlignment="1">
      <alignment horizontal="center" vertical="center" wrapText="1"/>
    </xf>
    <xf numFmtId="0" fontId="12" fillId="0" borderId="19" xfId="0" applyFont="1" applyFill="1" applyBorder="1" applyAlignment="1">
      <alignment horizontal="center" vertical="center" wrapText="1"/>
    </xf>
    <xf numFmtId="166" fontId="0" fillId="0" borderId="9" xfId="0" applyNumberFormat="1" applyFill="1" applyBorder="1" applyAlignment="1">
      <alignment horizontal="center"/>
    </xf>
    <xf numFmtId="0" fontId="0" fillId="0" borderId="23" xfId="0" applyNumberFormat="1" applyFill="1" applyBorder="1" applyAlignment="1" applyProtection="1">
      <alignment horizontal="center" vertical="center"/>
      <protection locked="0"/>
    </xf>
    <xf numFmtId="164" fontId="0" fillId="0" borderId="23" xfId="1" applyFont="1" applyFill="1" applyBorder="1" applyAlignment="1" applyProtection="1">
      <alignment horizontal="center" vertical="center"/>
    </xf>
    <xf numFmtId="0" fontId="0" fillId="0" borderId="13" xfId="0" applyFill="1" applyBorder="1" applyAlignment="1">
      <alignment horizontal="center"/>
    </xf>
    <xf numFmtId="0" fontId="0" fillId="0" borderId="13" xfId="0" applyNumberFormat="1" applyFill="1" applyBorder="1" applyAlignment="1" applyProtection="1">
      <alignment horizontal="center" vertical="center"/>
      <protection locked="0"/>
    </xf>
    <xf numFmtId="164" fontId="0" fillId="0" borderId="13" xfId="1" applyFont="1" applyFill="1" applyBorder="1" applyAlignment="1" applyProtection="1">
      <alignment horizontal="center" vertical="center"/>
    </xf>
    <xf numFmtId="165" fontId="0" fillId="0" borderId="7" xfId="0" applyNumberFormat="1" applyFill="1" applyBorder="1" applyProtection="1">
      <protection hidden="1"/>
    </xf>
    <xf numFmtId="164" fontId="0" fillId="0" borderId="27" xfId="1" applyFont="1" applyFill="1" applyBorder="1" applyProtection="1">
      <protection locked="0"/>
    </xf>
    <xf numFmtId="164" fontId="1" fillId="0" borderId="12" xfId="1" applyFont="1" applyFill="1" applyBorder="1" applyProtection="1">
      <protection hidden="1"/>
    </xf>
    <xf numFmtId="0" fontId="0" fillId="0" borderId="1" xfId="0" applyBorder="1" applyAlignment="1">
      <alignment textRotation="90"/>
    </xf>
    <xf numFmtId="0" fontId="13" fillId="3" borderId="1" xfId="0" applyFont="1" applyFill="1" applyBorder="1" applyAlignment="1" applyProtection="1">
      <alignment horizontal="center"/>
      <protection hidden="1"/>
    </xf>
    <xf numFmtId="0" fontId="4" fillId="3" borderId="1" xfId="0" applyFont="1" applyFill="1" applyBorder="1" applyAlignment="1" applyProtection="1">
      <alignment horizontal="center"/>
      <protection hidden="1"/>
    </xf>
    <xf numFmtId="0" fontId="4" fillId="0" borderId="0" xfId="0" applyFont="1" applyFill="1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center"/>
      <protection hidden="1"/>
    </xf>
    <xf numFmtId="0" fontId="0" fillId="12" borderId="1" xfId="0" applyNumberFormat="1" applyFill="1" applyBorder="1" applyAlignment="1" applyProtection="1">
      <alignment horizontal="center" vertical="center"/>
      <protection locked="0" hidden="1"/>
    </xf>
    <xf numFmtId="0" fontId="11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protection hidden="1"/>
    </xf>
    <xf numFmtId="0" fontId="4" fillId="0" borderId="0" xfId="0" applyFont="1" applyBorder="1" applyAlignment="1" applyProtection="1">
      <alignment horizontal="right"/>
      <protection hidden="1"/>
    </xf>
    <xf numFmtId="0" fontId="3" fillId="0" borderId="0" xfId="0" applyFont="1" applyAlignment="1" applyProtection="1">
      <protection hidden="1"/>
    </xf>
    <xf numFmtId="0" fontId="3" fillId="0" borderId="0" xfId="0" applyFont="1" applyAlignment="1" applyProtection="1">
      <alignment horizontal="left"/>
      <protection hidden="1"/>
    </xf>
    <xf numFmtId="0" fontId="3" fillId="3" borderId="1" xfId="0" applyFont="1" applyFill="1" applyBorder="1" applyAlignment="1" applyProtection="1">
      <protection hidden="1"/>
    </xf>
    <xf numFmtId="0" fontId="7" fillId="0" borderId="0" xfId="0" applyNumberFormat="1" applyFont="1" applyProtection="1">
      <protection hidden="1"/>
    </xf>
    <xf numFmtId="165" fontId="6" fillId="0" borderId="0" xfId="0" applyNumberFormat="1" applyFont="1" applyProtection="1"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0" borderId="0" xfId="0" applyFont="1" applyProtection="1">
      <protection hidden="1"/>
    </xf>
    <xf numFmtId="0" fontId="4" fillId="3" borderId="14" xfId="0" applyFont="1" applyFill="1" applyBorder="1" applyAlignment="1" applyProtection="1">
      <alignment horizontal="center" vertical="center"/>
      <protection hidden="1"/>
    </xf>
    <xf numFmtId="0" fontId="12" fillId="3" borderId="18" xfId="0" applyFont="1" applyFill="1" applyBorder="1" applyAlignment="1" applyProtection="1">
      <alignment horizontal="center" vertical="center" wrapText="1"/>
      <protection hidden="1"/>
    </xf>
    <xf numFmtId="0" fontId="12" fillId="3" borderId="19" xfId="0" applyFont="1" applyFill="1" applyBorder="1" applyAlignment="1" applyProtection="1">
      <alignment horizontal="center" vertical="center" wrapText="1"/>
      <protection hidden="1"/>
    </xf>
    <xf numFmtId="0" fontId="0" fillId="0" borderId="20" xfId="0" applyFill="1" applyBorder="1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 vertical="center"/>
      <protection hidden="1"/>
    </xf>
    <xf numFmtId="0" fontId="0" fillId="0" borderId="1" xfId="0" applyFill="1" applyBorder="1" applyAlignment="1" applyProtection="1">
      <protection hidden="1"/>
    </xf>
    <xf numFmtId="0" fontId="0" fillId="0" borderId="0" xfId="0" applyAlignment="1" applyProtection="1">
      <alignment horizontal="left"/>
      <protection hidden="1"/>
    </xf>
    <xf numFmtId="0" fontId="0" fillId="0" borderId="1" xfId="0" applyFill="1" applyBorder="1" applyProtection="1">
      <protection hidden="1"/>
    </xf>
    <xf numFmtId="0" fontId="0" fillId="0" borderId="6" xfId="0" applyBorder="1" applyProtection="1">
      <protection hidden="1"/>
    </xf>
    <xf numFmtId="0" fontId="0" fillId="0" borderId="2" xfId="0" applyFill="1" applyBorder="1" applyAlignment="1" applyProtection="1"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0" fillId="0" borderId="22" xfId="0" applyFill="1" applyBorder="1" applyAlignment="1" applyProtection="1">
      <alignment horizontal="center"/>
      <protection hidden="1"/>
    </xf>
    <xf numFmtId="0" fontId="0" fillId="0" borderId="23" xfId="0" applyFill="1" applyBorder="1" applyAlignment="1" applyProtection="1">
      <alignment horizontal="center"/>
      <protection hidden="1"/>
    </xf>
    <xf numFmtId="0" fontId="0" fillId="0" borderId="5" xfId="0" applyFill="1" applyBorder="1" applyAlignment="1" applyProtection="1">
      <alignment horizontal="center"/>
      <protection hidden="1"/>
    </xf>
    <xf numFmtId="0" fontId="0" fillId="3" borderId="13" xfId="0" applyFill="1" applyBorder="1" applyAlignment="1" applyProtection="1">
      <alignment horizontal="center"/>
      <protection hidden="1"/>
    </xf>
    <xf numFmtId="164" fontId="0" fillId="3" borderId="13" xfId="1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 applyProtection="1">
      <alignment horizontal="center"/>
      <protection hidden="1"/>
    </xf>
    <xf numFmtId="164" fontId="0" fillId="3" borderId="1" xfId="1" applyFont="1" applyFill="1" applyBorder="1" applyAlignment="1" applyProtection="1">
      <alignment horizontal="center" vertical="center"/>
      <protection hidden="1"/>
    </xf>
    <xf numFmtId="0" fontId="0" fillId="3" borderId="23" xfId="0" applyFill="1" applyBorder="1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1" fillId="0" borderId="0" xfId="0" applyFont="1" applyProtection="1">
      <protection hidden="1"/>
    </xf>
    <xf numFmtId="0" fontId="0" fillId="0" borderId="0" xfId="0" applyAlignment="1" applyProtection="1">
      <alignment horizontal="right"/>
      <protection hidden="1"/>
    </xf>
    <xf numFmtId="14" fontId="0" fillId="0" borderId="0" xfId="0" applyNumberFormat="1" applyBorder="1" applyAlignment="1" applyProtection="1">
      <protection hidden="1"/>
    </xf>
    <xf numFmtId="0" fontId="18" fillId="0" borderId="0" xfId="0" applyFont="1" applyAlignment="1" applyProtection="1">
      <alignment horizontal="left" vertical="top"/>
      <protection hidden="1"/>
    </xf>
    <xf numFmtId="0" fontId="3" fillId="0" borderId="4" xfId="0" applyFont="1" applyBorder="1" applyAlignment="1" applyProtection="1">
      <alignment horizontal="center"/>
      <protection locked="0" hidden="1"/>
    </xf>
    <xf numFmtId="0" fontId="0" fillId="12" borderId="23" xfId="0" applyNumberFormat="1" applyFill="1" applyBorder="1" applyAlignment="1" applyProtection="1">
      <alignment horizontal="center" vertical="center"/>
      <protection locked="0" hidden="1"/>
    </xf>
    <xf numFmtId="0" fontId="0" fillId="12" borderId="13" xfId="0" applyNumberFormat="1" applyFill="1" applyBorder="1" applyAlignment="1" applyProtection="1">
      <alignment horizontal="center" vertical="center"/>
      <protection locked="0" hidden="1"/>
    </xf>
    <xf numFmtId="166" fontId="0" fillId="12" borderId="10" xfId="0" applyNumberFormat="1" applyFill="1" applyBorder="1" applyAlignment="1" applyProtection="1">
      <alignment horizontal="center"/>
      <protection locked="0" hidden="1"/>
    </xf>
    <xf numFmtId="166" fontId="0" fillId="12" borderId="9" xfId="0" applyNumberFormat="1" applyFill="1" applyBorder="1" applyAlignment="1" applyProtection="1">
      <alignment horizontal="center"/>
      <protection locked="0" hidden="1"/>
    </xf>
    <xf numFmtId="164" fontId="0" fillId="12" borderId="27" xfId="1" applyFont="1" applyFill="1" applyBorder="1" applyProtection="1">
      <protection locked="0" hidden="1"/>
    </xf>
    <xf numFmtId="0" fontId="7" fillId="0" borderId="0" xfId="0" applyFont="1" applyAlignment="1" applyProtection="1">
      <alignment horizontal="right" vertical="top"/>
      <protection locked="0" hidden="1"/>
    </xf>
    <xf numFmtId="0" fontId="0" fillId="0" borderId="0" xfId="0" applyAlignment="1" applyProtection="1">
      <protection locked="0" hidden="1"/>
    </xf>
    <xf numFmtId="0" fontId="0" fillId="0" borderId="0" xfId="0" applyNumberFormat="1" applyProtection="1">
      <protection hidden="1"/>
    </xf>
    <xf numFmtId="0" fontId="3" fillId="0" borderId="0" xfId="0" applyFont="1" applyBorder="1" applyAlignment="1" applyProtection="1">
      <protection hidden="1"/>
    </xf>
    <xf numFmtId="0" fontId="0" fillId="6" borderId="1" xfId="0" applyFill="1" applyBorder="1"/>
    <xf numFmtId="2" fontId="0" fillId="12" borderId="1" xfId="0" applyNumberFormat="1" applyFill="1" applyBorder="1" applyAlignment="1" applyProtection="1">
      <alignment horizontal="center" vertical="center"/>
      <protection locked="0" hidden="1"/>
    </xf>
    <xf numFmtId="49" fontId="3" fillId="12" borderId="1" xfId="0" applyNumberFormat="1" applyFont="1" applyFill="1" applyBorder="1" applyAlignment="1" applyProtection="1">
      <protection locked="0" hidden="1"/>
    </xf>
    <xf numFmtId="0" fontId="0" fillId="10" borderId="1" xfId="0" applyFill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1" applyNumberFormat="1" applyFont="1"/>
    <xf numFmtId="164" fontId="0" fillId="0" borderId="0" xfId="0" applyNumberFormat="1"/>
    <xf numFmtId="164" fontId="0" fillId="3" borderId="1" xfId="0" applyNumberFormat="1" applyFill="1" applyBorder="1"/>
    <xf numFmtId="164" fontId="1" fillId="3" borderId="1" xfId="0" applyNumberFormat="1" applyFont="1" applyFill="1" applyBorder="1"/>
    <xf numFmtId="164" fontId="1" fillId="3" borderId="1" xfId="0" applyNumberFormat="1" applyFont="1" applyFill="1" applyBorder="1" applyAlignment="1">
      <alignment horizontal="right"/>
    </xf>
    <xf numFmtId="0" fontId="21" fillId="0" borderId="0" xfId="0" applyFont="1" applyFill="1" applyBorder="1"/>
    <xf numFmtId="0" fontId="21" fillId="0" borderId="0" xfId="0" applyFont="1" applyFill="1" applyBorder="1" applyProtection="1">
      <protection hidden="1"/>
    </xf>
    <xf numFmtId="0" fontId="21" fillId="0" borderId="1" xfId="0" applyFont="1" applyFill="1" applyBorder="1" applyProtection="1">
      <protection hidden="1"/>
    </xf>
    <xf numFmtId="164" fontId="21" fillId="0" borderId="1" xfId="0" applyNumberFormat="1" applyFont="1" applyFill="1" applyBorder="1" applyAlignment="1" applyProtection="1">
      <alignment horizontal="right"/>
      <protection hidden="1"/>
    </xf>
    <xf numFmtId="164" fontId="22" fillId="0" borderId="1" xfId="0" applyNumberFormat="1" applyFont="1" applyFill="1" applyBorder="1" applyAlignment="1" applyProtection="1">
      <alignment horizontal="right"/>
      <protection hidden="1"/>
    </xf>
    <xf numFmtId="0" fontId="0" fillId="0" borderId="0" xfId="0" applyProtection="1">
      <protection locked="0" hidden="1"/>
    </xf>
    <xf numFmtId="0" fontId="4" fillId="0" borderId="0" xfId="0" applyFont="1" applyBorder="1" applyAlignment="1" applyProtection="1">
      <alignment horizontal="right"/>
      <protection locked="0" hidden="1"/>
    </xf>
    <xf numFmtId="0" fontId="1" fillId="0" borderId="2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15" borderId="0" xfId="0" applyFont="1" applyFill="1" applyBorder="1" applyAlignment="1">
      <alignment horizontal="center" vertical="center" wrapText="1"/>
    </xf>
    <xf numFmtId="0" fontId="1" fillId="0" borderId="18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23" xfId="0" applyFont="1" applyFill="1" applyBorder="1" applyAlignment="1">
      <alignment horizontal="right"/>
    </xf>
    <xf numFmtId="0" fontId="1" fillId="0" borderId="0" xfId="0" applyFont="1" applyAlignment="1" applyProtection="1">
      <alignment horizontal="center" wrapText="1"/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0" borderId="1" xfId="0" applyBorder="1" applyAlignment="1" applyProtection="1">
      <alignment horizontal="right"/>
    </xf>
    <xf numFmtId="0" fontId="0" fillId="0" borderId="1" xfId="0" applyBorder="1" applyAlignment="1" applyProtection="1">
      <alignment horizontal="right" vertical="center" wrapText="1"/>
    </xf>
    <xf numFmtId="0" fontId="0" fillId="0" borderId="1" xfId="0" applyBorder="1" applyAlignment="1" applyProtection="1">
      <alignment vertical="center" wrapText="1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1" fillId="3" borderId="14" xfId="0" applyFont="1" applyFill="1" applyBorder="1" applyProtection="1"/>
    <xf numFmtId="0" fontId="1" fillId="3" borderId="18" xfId="0" applyFont="1" applyFill="1" applyBorder="1" applyAlignment="1" applyProtection="1">
      <alignment horizontal="center" vertical="center" wrapText="1"/>
    </xf>
    <xf numFmtId="0" fontId="1" fillId="3" borderId="18" xfId="0" applyFont="1" applyFill="1" applyBorder="1" applyAlignment="1" applyProtection="1">
      <alignment horizontal="center" vertical="center" wrapText="1"/>
      <protection locked="0"/>
    </xf>
    <xf numFmtId="0" fontId="1" fillId="3" borderId="19" xfId="0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Protection="1"/>
    <xf numFmtId="0" fontId="0" fillId="0" borderId="1" xfId="0" applyBorder="1" applyProtection="1"/>
    <xf numFmtId="0" fontId="0" fillId="0" borderId="1" xfId="0" applyBorder="1" applyProtection="1">
      <protection locked="0"/>
    </xf>
    <xf numFmtId="0" fontId="0" fillId="0" borderId="21" xfId="0" applyBorder="1" applyProtection="1"/>
    <xf numFmtId="0" fontId="0" fillId="0" borderId="29" xfId="0" applyBorder="1" applyAlignment="1" applyProtection="1">
      <alignment horizontal="left"/>
    </xf>
    <xf numFmtId="0" fontId="0" fillId="0" borderId="20" xfId="0" applyFill="1" applyBorder="1" applyProtection="1"/>
    <xf numFmtId="0" fontId="0" fillId="3" borderId="20" xfId="0" applyFill="1" applyBorder="1" applyProtection="1"/>
    <xf numFmtId="0" fontId="0" fillId="3" borderId="1" xfId="0" applyFill="1" applyBorder="1" applyProtection="1"/>
    <xf numFmtId="0" fontId="18" fillId="3" borderId="38" xfId="0" applyFont="1" applyFill="1" applyBorder="1" applyProtection="1"/>
    <xf numFmtId="0" fontId="0" fillId="3" borderId="39" xfId="0" applyFill="1" applyBorder="1" applyProtection="1"/>
    <xf numFmtId="0" fontId="0" fillId="3" borderId="39" xfId="0" applyFill="1" applyBorder="1" applyProtection="1">
      <protection locked="0"/>
    </xf>
    <xf numFmtId="0" fontId="0" fillId="3" borderId="38" xfId="0" applyFill="1" applyBorder="1" applyProtection="1"/>
    <xf numFmtId="0" fontId="1" fillId="2" borderId="0" xfId="0" applyFont="1" applyFill="1" applyBorder="1" applyAlignment="1" applyProtection="1">
      <alignment horizontal="left"/>
    </xf>
    <xf numFmtId="0" fontId="1" fillId="2" borderId="0" xfId="0" applyFont="1" applyFill="1" applyBorder="1" applyProtection="1"/>
    <xf numFmtId="0" fontId="0" fillId="2" borderId="0" xfId="0" applyFill="1"/>
    <xf numFmtId="0" fontId="0" fillId="2" borderId="1" xfId="0" applyFill="1" applyBorder="1" applyAlignment="1" applyProtection="1">
      <alignment horizontal="right"/>
    </xf>
    <xf numFmtId="0" fontId="0" fillId="0" borderId="18" xfId="0" applyBorder="1" applyProtection="1"/>
    <xf numFmtId="0" fontId="0" fillId="0" borderId="19" xfId="0" applyBorder="1" applyProtection="1"/>
    <xf numFmtId="0" fontId="0" fillId="0" borderId="4" xfId="0" applyBorder="1"/>
    <xf numFmtId="0" fontId="0" fillId="0" borderId="9" xfId="0" applyBorder="1" applyAlignment="1" applyProtection="1">
      <alignment horizontal="left"/>
    </xf>
    <xf numFmtId="0" fontId="0" fillId="0" borderId="27" xfId="0" applyBorder="1" applyProtection="1"/>
    <xf numFmtId="0" fontId="0" fillId="0" borderId="20" xfId="0" applyFill="1" applyBorder="1" applyAlignment="1" applyProtection="1">
      <alignment horizontal="right"/>
    </xf>
    <xf numFmtId="0" fontId="0" fillId="0" borderId="40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36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38" xfId="0" applyFill="1" applyBorder="1" applyAlignment="1" applyProtection="1">
      <alignment horizontal="center"/>
      <protection hidden="1"/>
    </xf>
    <xf numFmtId="0" fontId="0" fillId="3" borderId="39" xfId="0" applyFill="1" applyBorder="1" applyAlignment="1" applyProtection="1">
      <alignment horizontal="center"/>
      <protection hidden="1"/>
    </xf>
    <xf numFmtId="0" fontId="0" fillId="0" borderId="38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170" fontId="25" fillId="2" borderId="0" xfId="0" applyNumberFormat="1" applyFont="1" applyFill="1" applyProtection="1">
      <protection hidden="1"/>
    </xf>
    <xf numFmtId="164" fontId="0" fillId="12" borderId="1" xfId="1" applyFont="1" applyFill="1" applyBorder="1" applyAlignment="1" applyProtection="1">
      <alignment horizontal="center" vertical="center"/>
      <protection locked="0"/>
    </xf>
    <xf numFmtId="164" fontId="0" fillId="12" borderId="23" xfId="1" applyFont="1" applyFill="1" applyBorder="1" applyAlignment="1" applyProtection="1">
      <alignment horizontal="center" vertical="center"/>
      <protection locked="0"/>
    </xf>
    <xf numFmtId="0" fontId="0" fillId="12" borderId="1" xfId="0" applyNumberFormat="1" applyFill="1" applyBorder="1" applyAlignment="1" applyProtection="1">
      <alignment horizontal="center" vertical="center"/>
      <protection locked="0"/>
    </xf>
    <xf numFmtId="0" fontId="0" fillId="12" borderId="39" xfId="0" applyNumberFormat="1" applyFill="1" applyBorder="1" applyAlignment="1" applyProtection="1">
      <alignment horizontal="center" vertical="center"/>
      <protection locked="0"/>
    </xf>
    <xf numFmtId="0" fontId="0" fillId="12" borderId="23" xfId="0" applyNumberFormat="1" applyFill="1" applyBorder="1" applyAlignment="1" applyProtection="1">
      <alignment horizontal="center" vertical="center"/>
      <protection locked="0"/>
    </xf>
    <xf numFmtId="165" fontId="0" fillId="4" borderId="1" xfId="0" applyNumberFormat="1" applyFill="1" applyBorder="1" applyProtection="1">
      <protection hidden="1"/>
    </xf>
    <xf numFmtId="165" fontId="0" fillId="14" borderId="1" xfId="0" applyNumberFormat="1" applyFill="1" applyBorder="1" applyProtection="1">
      <protection hidden="1"/>
    </xf>
    <xf numFmtId="165" fontId="0" fillId="5" borderId="1" xfId="0" applyNumberFormat="1" applyFill="1" applyBorder="1" applyProtection="1">
      <protection hidden="1"/>
    </xf>
    <xf numFmtId="165" fontId="0" fillId="16" borderId="1" xfId="0" applyNumberFormat="1" applyFill="1" applyBorder="1" applyProtection="1">
      <protection hidden="1"/>
    </xf>
    <xf numFmtId="0" fontId="0" fillId="0" borderId="39" xfId="0" applyNumberFormat="1" applyFill="1" applyBorder="1" applyAlignment="1" applyProtection="1">
      <alignment horizontal="center" vertical="center"/>
      <protection locked="0"/>
    </xf>
    <xf numFmtId="164" fontId="0" fillId="0" borderId="39" xfId="1" applyFont="1" applyFill="1" applyBorder="1" applyAlignment="1" applyProtection="1">
      <alignment horizontal="center" vertical="center"/>
    </xf>
    <xf numFmtId="165" fontId="0" fillId="4" borderId="39" xfId="0" applyNumberFormat="1" applyFill="1" applyBorder="1" applyProtection="1">
      <protection hidden="1"/>
    </xf>
    <xf numFmtId="165" fontId="1" fillId="7" borderId="19" xfId="1" applyNumberFormat="1" applyFont="1" applyFill="1" applyBorder="1" applyProtection="1">
      <protection hidden="1"/>
    </xf>
    <xf numFmtId="165" fontId="1" fillId="4" borderId="21" xfId="1" applyNumberFormat="1" applyFont="1" applyFill="1" applyBorder="1" applyProtection="1">
      <protection hidden="1"/>
    </xf>
    <xf numFmtId="165" fontId="1" fillId="14" borderId="21" xfId="1" applyNumberFormat="1" applyFont="1" applyFill="1" applyBorder="1" applyProtection="1">
      <protection hidden="1"/>
    </xf>
    <xf numFmtId="165" fontId="1" fillId="5" borderId="21" xfId="1" applyNumberFormat="1" applyFont="1" applyFill="1" applyBorder="1" applyProtection="1">
      <protection hidden="1"/>
    </xf>
    <xf numFmtId="165" fontId="1" fillId="16" borderId="21" xfId="1" applyNumberFormat="1" applyFont="1" applyFill="1" applyBorder="1" applyProtection="1">
      <protection hidden="1"/>
    </xf>
    <xf numFmtId="165" fontId="1" fillId="0" borderId="24" xfId="1" applyNumberFormat="1" applyFont="1" applyFill="1" applyBorder="1" applyProtection="1">
      <protection hidden="1"/>
    </xf>
    <xf numFmtId="0" fontId="1" fillId="0" borderId="0" xfId="0" applyFont="1" applyFill="1" applyBorder="1" applyAlignment="1">
      <alignment horizontal="right"/>
    </xf>
    <xf numFmtId="165" fontId="1" fillId="7" borderId="0" xfId="1" applyNumberFormat="1" applyFont="1" applyFill="1" applyBorder="1" applyProtection="1">
      <protection hidden="1"/>
    </xf>
    <xf numFmtId="165" fontId="1" fillId="4" borderId="0" xfId="1" applyNumberFormat="1" applyFont="1" applyFill="1" applyBorder="1" applyProtection="1">
      <protection hidden="1"/>
    </xf>
    <xf numFmtId="165" fontId="1" fillId="14" borderId="0" xfId="1" applyNumberFormat="1" applyFont="1" applyFill="1" applyBorder="1" applyProtection="1">
      <protection hidden="1"/>
    </xf>
    <xf numFmtId="165" fontId="1" fillId="5" borderId="0" xfId="1" applyNumberFormat="1" applyFont="1" applyFill="1" applyBorder="1" applyProtection="1">
      <protection hidden="1"/>
    </xf>
    <xf numFmtId="165" fontId="1" fillId="16" borderId="0" xfId="1" applyNumberFormat="1" applyFont="1" applyFill="1" applyBorder="1" applyProtection="1">
      <protection hidden="1"/>
    </xf>
    <xf numFmtId="165" fontId="1" fillId="0" borderId="0" xfId="1" applyNumberFormat="1" applyFont="1" applyFill="1" applyBorder="1" applyProtection="1">
      <protection hidden="1"/>
    </xf>
    <xf numFmtId="168" fontId="0" fillId="0" borderId="1" xfId="0" applyNumberFormat="1" applyBorder="1"/>
    <xf numFmtId="0" fontId="8" fillId="0" borderId="1" xfId="0" applyFont="1" applyBorder="1"/>
    <xf numFmtId="168" fontId="8" fillId="0" borderId="1" xfId="0" applyNumberFormat="1" applyFont="1" applyBorder="1"/>
    <xf numFmtId="0" fontId="12" fillId="0" borderId="1" xfId="0" applyFont="1" applyFill="1" applyBorder="1" applyAlignment="1"/>
    <xf numFmtId="164" fontId="0" fillId="0" borderId="1" xfId="0" applyNumberFormat="1" applyBorder="1" applyProtection="1"/>
    <xf numFmtId="0" fontId="0" fillId="4" borderId="1" xfId="0" applyFill="1" applyBorder="1" applyProtection="1">
      <protection locked="0"/>
    </xf>
    <xf numFmtId="0" fontId="0" fillId="4" borderId="9" xfId="0" applyFill="1" applyBorder="1"/>
    <xf numFmtId="164" fontId="0" fillId="13" borderId="1" xfId="1" applyFont="1" applyFill="1" applyBorder="1" applyAlignment="1">
      <alignment horizontal="center"/>
    </xf>
    <xf numFmtId="9" fontId="0" fillId="0" borderId="1" xfId="2" applyFont="1" applyBorder="1"/>
    <xf numFmtId="0" fontId="0" fillId="10" borderId="1" xfId="0" applyFill="1" applyBorder="1" applyAlignment="1">
      <alignment horizontal="center"/>
    </xf>
    <xf numFmtId="0" fontId="0" fillId="0" borderId="0" xfId="0" applyAlignment="1">
      <alignment textRotation="90" wrapText="1"/>
    </xf>
    <xf numFmtId="9" fontId="0" fillId="4" borderId="1" xfId="2" applyFont="1" applyFill="1" applyBorder="1" applyAlignment="1">
      <alignment horizontal="center"/>
    </xf>
    <xf numFmtId="0" fontId="12" fillId="0" borderId="0" xfId="0" applyFont="1" applyFill="1" applyBorder="1" applyAlignment="1"/>
    <xf numFmtId="0" fontId="0" fillId="0" borderId="0" xfId="0" applyBorder="1" applyAlignment="1"/>
    <xf numFmtId="0" fontId="18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4" fillId="0" borderId="0" xfId="0" applyFont="1" applyBorder="1" applyAlignment="1">
      <alignment vertical="center" wrapText="1"/>
    </xf>
    <xf numFmtId="0" fontId="0" fillId="2" borderId="0" xfId="0" applyFill="1" applyBorder="1"/>
    <xf numFmtId="0" fontId="0" fillId="0" borderId="19" xfId="0" applyBorder="1" applyAlignment="1">
      <alignment horizontal="center" vertical="center" wrapText="1"/>
    </xf>
    <xf numFmtId="49" fontId="0" fillId="0" borderId="0" xfId="0" applyNumberFormat="1" applyProtection="1">
      <protection hidden="1"/>
    </xf>
    <xf numFmtId="168" fontId="0" fillId="0" borderId="18" xfId="0" applyNumberFormat="1" applyBorder="1" applyProtection="1"/>
    <xf numFmtId="0" fontId="0" fillId="4" borderId="39" xfId="0" applyFill="1" applyBorder="1" applyProtection="1">
      <protection locked="0"/>
    </xf>
    <xf numFmtId="2" fontId="0" fillId="0" borderId="1" xfId="0" applyNumberFormat="1" applyBorder="1" applyProtection="1">
      <protection hidden="1"/>
    </xf>
    <xf numFmtId="0" fontId="0" fillId="0" borderId="1" xfId="0" applyBorder="1" applyProtection="1">
      <protection hidden="1"/>
    </xf>
    <xf numFmtId="0" fontId="0" fillId="0" borderId="21" xfId="0" applyBorder="1" applyProtection="1">
      <protection hidden="1"/>
    </xf>
    <xf numFmtId="0" fontId="0" fillId="3" borderId="21" xfId="0" applyFill="1" applyBorder="1" applyProtection="1">
      <protection hidden="1"/>
    </xf>
    <xf numFmtId="0" fontId="0" fillId="3" borderId="27" xfId="0" applyFill="1" applyBorder="1" applyProtection="1">
      <protection hidden="1"/>
    </xf>
    <xf numFmtId="0" fontId="1" fillId="4" borderId="35" xfId="0" applyFont="1" applyFill="1" applyBorder="1" applyProtection="1">
      <protection hidden="1"/>
    </xf>
    <xf numFmtId="0" fontId="1" fillId="0" borderId="40" xfId="0" applyFont="1" applyFill="1" applyBorder="1" applyAlignment="1" applyProtection="1"/>
    <xf numFmtId="0" fontId="0" fillId="4" borderId="12" xfId="0" applyFill="1" applyBorder="1" applyProtection="1">
      <protection locked="0"/>
    </xf>
    <xf numFmtId="169" fontId="21" fillId="11" borderId="1" xfId="2" applyNumberFormat="1" applyFont="1" applyFill="1" applyBorder="1" applyAlignment="1" applyProtection="1">
      <alignment horizontal="right"/>
      <protection locked="0" hidden="1"/>
    </xf>
    <xf numFmtId="0" fontId="0" fillId="11" borderId="1" xfId="0" applyFill="1" applyBorder="1" applyProtection="1">
      <protection locked="0"/>
    </xf>
    <xf numFmtId="0" fontId="26" fillId="0" borderId="0" xfId="0" applyFont="1" applyProtection="1">
      <protection hidden="1"/>
    </xf>
    <xf numFmtId="0" fontId="21" fillId="10" borderId="1" xfId="0" applyFont="1" applyFill="1" applyBorder="1"/>
    <xf numFmtId="0" fontId="21" fillId="10" borderId="1" xfId="0" applyFont="1" applyFill="1" applyBorder="1" applyProtection="1">
      <protection hidden="1"/>
    </xf>
    <xf numFmtId="172" fontId="21" fillId="10" borderId="1" xfId="0" applyNumberFormat="1" applyFont="1" applyFill="1" applyBorder="1" applyProtection="1">
      <protection hidden="1"/>
    </xf>
    <xf numFmtId="164" fontId="0" fillId="10" borderId="1" xfId="1" applyFont="1" applyFill="1" applyBorder="1" applyProtection="1">
      <protection hidden="1"/>
    </xf>
    <xf numFmtId="0" fontId="0" fillId="10" borderId="1" xfId="0" applyFill="1" applyBorder="1" applyAlignment="1">
      <alignment horizontal="center"/>
    </xf>
    <xf numFmtId="0" fontId="1" fillId="0" borderId="30" xfId="0" applyFont="1" applyFill="1" applyBorder="1" applyAlignment="1" applyProtection="1">
      <alignment horizontal="right"/>
      <protection hidden="1"/>
    </xf>
    <xf numFmtId="0" fontId="1" fillId="0" borderId="31" xfId="0" applyFont="1" applyFill="1" applyBorder="1" applyAlignment="1" applyProtection="1">
      <alignment horizontal="right"/>
      <protection hidden="1"/>
    </xf>
    <xf numFmtId="0" fontId="1" fillId="0" borderId="32" xfId="0" applyFont="1" applyFill="1" applyBorder="1" applyAlignment="1" applyProtection="1">
      <alignment horizontal="right"/>
      <protection hidden="1"/>
    </xf>
    <xf numFmtId="0" fontId="0" fillId="3" borderId="11" xfId="0" applyFill="1" applyBorder="1" applyAlignment="1" applyProtection="1">
      <alignment horizontal="left"/>
      <protection hidden="1"/>
    </xf>
    <xf numFmtId="0" fontId="0" fillId="3" borderId="4" xfId="0" applyFill="1" applyBorder="1" applyAlignment="1" applyProtection="1">
      <alignment horizontal="left"/>
      <protection hidden="1"/>
    </xf>
    <xf numFmtId="0" fontId="0" fillId="12" borderId="11" xfId="0" applyFill="1" applyBorder="1" applyAlignment="1" applyProtection="1">
      <alignment horizontal="left"/>
      <protection locked="0" hidden="1"/>
    </xf>
    <xf numFmtId="0" fontId="0" fillId="12" borderId="4" xfId="0" applyFill="1" applyBorder="1" applyAlignment="1" applyProtection="1">
      <alignment horizontal="left"/>
      <protection locked="0" hidden="1"/>
    </xf>
    <xf numFmtId="0" fontId="0" fillId="12" borderId="25" xfId="0" applyFill="1" applyBorder="1" applyAlignment="1" applyProtection="1">
      <alignment horizontal="left"/>
      <protection locked="0" hidden="1"/>
    </xf>
    <xf numFmtId="0" fontId="0" fillId="3" borderId="1" xfId="0" applyFill="1" applyBorder="1" applyAlignment="1" applyProtection="1">
      <alignment horizontal="left"/>
      <protection hidden="1"/>
    </xf>
    <xf numFmtId="0" fontId="18" fillId="0" borderId="0" xfId="0" applyFont="1" applyAlignment="1" applyProtection="1">
      <alignment horizontal="left" vertical="top"/>
      <protection hidden="1"/>
    </xf>
    <xf numFmtId="0" fontId="1" fillId="0" borderId="0" xfId="0" applyFont="1" applyAlignment="1" applyProtection="1">
      <alignment horizontal="left"/>
      <protection locked="0" hidden="1"/>
    </xf>
    <xf numFmtId="0" fontId="0" fillId="0" borderId="0" xfId="0" applyAlignment="1" applyProtection="1">
      <alignment horizontal="left"/>
      <protection locked="0" hidden="1"/>
    </xf>
    <xf numFmtId="0" fontId="0" fillId="0" borderId="0" xfId="0" applyBorder="1" applyAlignment="1" applyProtection="1">
      <alignment horizontal="left"/>
      <protection locked="0" hidden="1"/>
    </xf>
    <xf numFmtId="0" fontId="1" fillId="0" borderId="28" xfId="0" applyFont="1" applyFill="1" applyBorder="1" applyAlignment="1" applyProtection="1">
      <alignment horizontal="right"/>
      <protection hidden="1"/>
    </xf>
    <xf numFmtId="0" fontId="1" fillId="0" borderId="16" xfId="0" applyFont="1" applyFill="1" applyBorder="1" applyAlignment="1" applyProtection="1">
      <alignment horizontal="right"/>
      <protection hidden="1"/>
    </xf>
    <xf numFmtId="0" fontId="1" fillId="0" borderId="17" xfId="0" applyFont="1" applyFill="1" applyBorder="1" applyAlignment="1" applyProtection="1">
      <alignment horizontal="right"/>
      <protection hidden="1"/>
    </xf>
    <xf numFmtId="0" fontId="1" fillId="0" borderId="29" xfId="0" applyFont="1" applyFill="1" applyBorder="1" applyAlignment="1" applyProtection="1">
      <alignment horizontal="right"/>
      <protection hidden="1"/>
    </xf>
    <xf numFmtId="0" fontId="1" fillId="0" borderId="3" xfId="0" applyFont="1" applyFill="1" applyBorder="1" applyAlignment="1" applyProtection="1">
      <alignment horizontal="right"/>
      <protection hidden="1"/>
    </xf>
    <xf numFmtId="0" fontId="1" fillId="0" borderId="9" xfId="0" applyFont="1" applyFill="1" applyBorder="1" applyAlignment="1" applyProtection="1">
      <alignment horizontal="right"/>
      <protection hidden="1"/>
    </xf>
    <xf numFmtId="0" fontId="0" fillId="12" borderId="23" xfId="0" applyFill="1" applyBorder="1" applyAlignment="1" applyProtection="1">
      <alignment horizontal="left"/>
      <protection locked="0"/>
    </xf>
    <xf numFmtId="0" fontId="0" fillId="12" borderId="2" xfId="0" applyFill="1" applyBorder="1" applyAlignment="1" applyProtection="1">
      <alignment horizontal="left"/>
      <protection locked="0" hidden="1"/>
    </xf>
    <xf numFmtId="0" fontId="0" fillId="12" borderId="3" xfId="0" applyFill="1" applyBorder="1" applyAlignment="1" applyProtection="1">
      <alignment horizontal="left"/>
      <protection locked="0" hidden="1"/>
    </xf>
    <xf numFmtId="0" fontId="0" fillId="12" borderId="9" xfId="0" applyFill="1" applyBorder="1" applyAlignment="1" applyProtection="1">
      <alignment horizontal="left"/>
      <protection locked="0" hidden="1"/>
    </xf>
    <xf numFmtId="0" fontId="0" fillId="0" borderId="2" xfId="0" applyFill="1" applyBorder="1" applyAlignment="1" applyProtection="1">
      <alignment horizontal="left"/>
      <protection hidden="1"/>
    </xf>
    <xf numFmtId="0" fontId="0" fillId="0" borderId="3" xfId="0" applyFill="1" applyBorder="1" applyAlignment="1" applyProtection="1">
      <alignment horizontal="left"/>
      <protection hidden="1"/>
    </xf>
    <xf numFmtId="0" fontId="0" fillId="0" borderId="9" xfId="0" applyFill="1" applyBorder="1" applyAlignment="1" applyProtection="1">
      <alignment horizontal="left"/>
      <protection hidden="1"/>
    </xf>
    <xf numFmtId="0" fontId="19" fillId="12" borderId="0" xfId="0" applyFont="1" applyFill="1" applyBorder="1" applyAlignment="1" applyProtection="1">
      <alignment horizontal="center" vertical="center"/>
      <protection locked="0" hidden="1"/>
    </xf>
    <xf numFmtId="0" fontId="20" fillId="0" borderId="0" xfId="0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center"/>
      <protection locked="0" hidden="1"/>
    </xf>
    <xf numFmtId="0" fontId="3" fillId="0" borderId="0" xfId="0" applyFont="1" applyBorder="1" applyAlignment="1" applyProtection="1">
      <alignment horizontal="right"/>
      <protection locked="0" hidden="1"/>
    </xf>
    <xf numFmtId="0" fontId="3" fillId="0" borderId="8" xfId="0" applyFont="1" applyBorder="1" applyAlignment="1" applyProtection="1">
      <alignment horizontal="right"/>
      <protection locked="0" hidden="1"/>
    </xf>
    <xf numFmtId="0" fontId="18" fillId="0" borderId="4" xfId="0" applyFont="1" applyBorder="1" applyAlignment="1" applyProtection="1">
      <alignment horizontal="center" wrapText="1"/>
      <protection locked="0" hidden="1"/>
    </xf>
    <xf numFmtId="0" fontId="18" fillId="0" borderId="4" xfId="0" applyFont="1" applyBorder="1" applyAlignment="1" applyProtection="1">
      <alignment horizontal="center"/>
      <protection locked="0" hidden="1"/>
    </xf>
    <xf numFmtId="0" fontId="4" fillId="3" borderId="2" xfId="0" applyFont="1" applyFill="1" applyBorder="1" applyAlignment="1" applyProtection="1">
      <alignment horizontal="left"/>
      <protection hidden="1"/>
    </xf>
    <xf numFmtId="0" fontId="4" fillId="3" borderId="3" xfId="0" applyFont="1" applyFill="1" applyBorder="1" applyAlignment="1" applyProtection="1">
      <alignment horizontal="left"/>
      <protection hidden="1"/>
    </xf>
    <xf numFmtId="0" fontId="4" fillId="3" borderId="9" xfId="0" applyFont="1" applyFill="1" applyBorder="1" applyAlignment="1" applyProtection="1">
      <alignment horizontal="left"/>
      <protection hidden="1"/>
    </xf>
    <xf numFmtId="0" fontId="21" fillId="3" borderId="2" xfId="0" applyFont="1" applyFill="1" applyBorder="1" applyAlignment="1" applyProtection="1">
      <alignment horizontal="left"/>
      <protection hidden="1"/>
    </xf>
    <xf numFmtId="0" fontId="21" fillId="3" borderId="3" xfId="0" applyFont="1" applyFill="1" applyBorder="1" applyAlignment="1" applyProtection="1">
      <alignment horizontal="left"/>
      <protection hidden="1"/>
    </xf>
    <xf numFmtId="0" fontId="21" fillId="3" borderId="9" xfId="0" applyFont="1" applyFill="1" applyBorder="1" applyAlignment="1" applyProtection="1">
      <alignment horizontal="left"/>
      <protection hidden="1"/>
    </xf>
    <xf numFmtId="0" fontId="0" fillId="3" borderId="2" xfId="0" applyFill="1" applyBorder="1" applyAlignment="1" applyProtection="1">
      <alignment horizontal="left"/>
      <protection hidden="1"/>
    </xf>
    <xf numFmtId="0" fontId="0" fillId="3" borderId="3" xfId="0" applyFill="1" applyBorder="1" applyAlignment="1" applyProtection="1">
      <alignment horizontal="left"/>
      <protection hidden="1"/>
    </xf>
    <xf numFmtId="0" fontId="0" fillId="3" borderId="9" xfId="0" applyFill="1" applyBorder="1" applyAlignment="1" applyProtection="1">
      <alignment horizontal="left"/>
      <protection hidden="1"/>
    </xf>
    <xf numFmtId="0" fontId="4" fillId="12" borderId="2" xfId="0" applyFont="1" applyFill="1" applyBorder="1" applyAlignment="1" applyProtection="1">
      <alignment horizontal="right"/>
      <protection locked="0"/>
    </xf>
    <xf numFmtId="0" fontId="4" fillId="12" borderId="3" xfId="0" applyFont="1" applyFill="1" applyBorder="1" applyAlignment="1" applyProtection="1">
      <alignment horizontal="right"/>
      <protection locked="0"/>
    </xf>
    <xf numFmtId="0" fontId="4" fillId="12" borderId="9" xfId="0" applyFont="1" applyFill="1" applyBorder="1" applyAlignment="1" applyProtection="1">
      <alignment horizontal="right"/>
      <protection locked="0"/>
    </xf>
    <xf numFmtId="0" fontId="0" fillId="0" borderId="1" xfId="0" applyFill="1" applyBorder="1" applyAlignment="1" applyProtection="1">
      <alignment horizontal="left"/>
      <protection hidden="1"/>
    </xf>
    <xf numFmtId="0" fontId="0" fillId="2" borderId="23" xfId="0" applyFill="1" applyBorder="1" applyAlignment="1" applyProtection="1">
      <alignment horizontal="left"/>
      <protection hidden="1"/>
    </xf>
    <xf numFmtId="0" fontId="4" fillId="3" borderId="15" xfId="0" applyFont="1" applyFill="1" applyBorder="1" applyAlignment="1" applyProtection="1">
      <alignment horizontal="center" vertical="center"/>
      <protection hidden="1"/>
    </xf>
    <xf numFmtId="0" fontId="4" fillId="3" borderId="16" xfId="0" applyFont="1" applyFill="1" applyBorder="1" applyAlignment="1" applyProtection="1">
      <alignment horizontal="center" vertical="center"/>
      <protection hidden="1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0" fillId="2" borderId="2" xfId="0" applyFill="1" applyBorder="1" applyAlignment="1" applyProtection="1">
      <alignment horizontal="left" vertical="center"/>
      <protection hidden="1"/>
    </xf>
    <xf numFmtId="0" fontId="0" fillId="2" borderId="3" xfId="0" applyFill="1" applyBorder="1" applyAlignment="1" applyProtection="1">
      <alignment horizontal="left" vertical="center"/>
      <protection hidden="1"/>
    </xf>
    <xf numFmtId="0" fontId="0" fillId="2" borderId="9" xfId="0" applyFill="1" applyBorder="1" applyAlignment="1" applyProtection="1">
      <alignment horizontal="left" vertical="center"/>
      <protection hidden="1"/>
    </xf>
    <xf numFmtId="0" fontId="8" fillId="0" borderId="8" xfId="0" applyFont="1" applyBorder="1" applyAlignment="1">
      <alignment horizontal="center" wrapText="1"/>
    </xf>
    <xf numFmtId="0" fontId="8" fillId="0" borderId="8" xfId="0" applyFont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23" xfId="0" applyFill="1" applyBorder="1" applyAlignment="1">
      <alignment horizontal="left"/>
    </xf>
    <xf numFmtId="0" fontId="1" fillId="0" borderId="14" xfId="0" applyFont="1" applyFill="1" applyBorder="1" applyAlignment="1">
      <alignment horizontal="right"/>
    </xf>
    <xf numFmtId="0" fontId="1" fillId="0" borderId="18" xfId="0" applyFont="1" applyFill="1" applyBorder="1" applyAlignment="1">
      <alignment horizontal="right"/>
    </xf>
    <xf numFmtId="0" fontId="1" fillId="0" borderId="20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22" xfId="0" applyFont="1" applyFill="1" applyBorder="1" applyAlignment="1">
      <alignment horizontal="right"/>
    </xf>
    <xf numFmtId="0" fontId="1" fillId="0" borderId="23" xfId="0" applyFont="1" applyFill="1" applyBorder="1" applyAlignment="1">
      <alignment horizontal="right"/>
    </xf>
    <xf numFmtId="0" fontId="0" fillId="0" borderId="2" xfId="0" applyFill="1" applyBorder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9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25" xfId="0" applyFill="1" applyBorder="1" applyAlignment="1">
      <alignment horizontal="left"/>
    </xf>
    <xf numFmtId="0" fontId="14" fillId="12" borderId="0" xfId="0" applyFont="1" applyFill="1" applyBorder="1" applyAlignment="1" applyProtection="1">
      <alignment horizontal="left" vertical="center"/>
      <protection hidden="1"/>
    </xf>
    <xf numFmtId="0" fontId="3" fillId="0" borderId="0" xfId="0" applyFont="1" applyBorder="1" applyAlignment="1" applyProtection="1">
      <alignment horizontal="center"/>
    </xf>
    <xf numFmtId="0" fontId="3" fillId="0" borderId="4" xfId="0" applyFont="1" applyBorder="1" applyAlignment="1" applyProtection="1">
      <alignment horizontal="left"/>
      <protection locked="0"/>
    </xf>
    <xf numFmtId="0" fontId="4" fillId="0" borderId="2" xfId="0" applyFont="1" applyFill="1" applyBorder="1" applyAlignment="1" applyProtection="1">
      <alignment horizontal="right"/>
      <protection locked="0"/>
    </xf>
    <xf numFmtId="0" fontId="4" fillId="0" borderId="3" xfId="0" applyFont="1" applyFill="1" applyBorder="1" applyAlignment="1" applyProtection="1">
      <alignment horizontal="right"/>
      <protection locked="0"/>
    </xf>
    <xf numFmtId="0" fontId="4" fillId="0" borderId="9" xfId="0" applyFont="1" applyFill="1" applyBorder="1" applyAlignment="1" applyProtection="1">
      <alignment horizontal="right"/>
      <protection locked="0"/>
    </xf>
    <xf numFmtId="0" fontId="4" fillId="0" borderId="2" xfId="0" applyFont="1" applyFill="1" applyBorder="1" applyAlignment="1">
      <alignment horizontal="left"/>
    </xf>
    <xf numFmtId="0" fontId="4" fillId="0" borderId="3" xfId="0" applyFont="1" applyFill="1" applyBorder="1" applyAlignment="1">
      <alignment horizontal="left"/>
    </xf>
    <xf numFmtId="0" fontId="4" fillId="0" borderId="9" xfId="0" applyFont="1" applyFill="1" applyBorder="1" applyAlignment="1">
      <alignment horizontal="left"/>
    </xf>
    <xf numFmtId="0" fontId="0" fillId="0" borderId="2" xfId="0" applyFill="1" applyBorder="1" applyAlignment="1">
      <alignment horizontal="left" vertical="center"/>
    </xf>
    <xf numFmtId="0" fontId="0" fillId="0" borderId="3" xfId="0" applyFill="1" applyBorder="1" applyAlignment="1">
      <alignment horizontal="left" vertical="center"/>
    </xf>
    <xf numFmtId="0" fontId="0" fillId="0" borderId="9" xfId="0" applyFill="1" applyBorder="1" applyAlignment="1">
      <alignment horizontal="left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1" fillId="0" borderId="29" xfId="0" applyFont="1" applyFill="1" applyBorder="1" applyAlignment="1">
      <alignment horizontal="right"/>
    </xf>
    <xf numFmtId="0" fontId="1" fillId="0" borderId="9" xfId="0" applyFont="1" applyFill="1" applyBorder="1" applyAlignment="1">
      <alignment horizontal="right"/>
    </xf>
    <xf numFmtId="0" fontId="14" fillId="0" borderId="0" xfId="0" applyFont="1" applyFill="1" applyBorder="1" applyAlignment="1" applyProtection="1">
      <alignment horizontal="left" vertical="center"/>
      <protection hidden="1"/>
    </xf>
    <xf numFmtId="0" fontId="3" fillId="0" borderId="0" xfId="0" applyFont="1" applyBorder="1" applyAlignment="1" applyProtection="1">
      <alignment horizontal="left"/>
      <protection locked="0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  <protection locked="0"/>
    </xf>
    <xf numFmtId="0" fontId="0" fillId="0" borderId="0" xfId="0" applyAlignment="1">
      <alignment horizont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0" fillId="0" borderId="0" xfId="0" applyFont="1" applyAlignment="1">
      <alignment horizontal="center" vertical="top"/>
    </xf>
    <xf numFmtId="0" fontId="23" fillId="0" borderId="0" xfId="0" applyFont="1" applyAlignment="1" applyProtection="1">
      <alignment horizontal="center" wrapText="1"/>
    </xf>
    <xf numFmtId="0" fontId="23" fillId="0" borderId="0" xfId="0" applyFont="1" applyAlignment="1" applyProtection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14" fontId="0" fillId="0" borderId="1" xfId="0" applyNumberForma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18" fillId="0" borderId="20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0" fillId="0" borderId="21" xfId="0" applyBorder="1" applyAlignment="1">
      <alignment horizontal="center"/>
    </xf>
    <xf numFmtId="0" fontId="0" fillId="0" borderId="14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24" fillId="0" borderId="20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4" fillId="0" borderId="20" xfId="0" applyFont="1" applyBorder="1" applyAlignment="1">
      <alignment horizontal="center" wrapText="1"/>
    </xf>
    <xf numFmtId="0" fontId="24" fillId="0" borderId="1" xfId="0" applyFont="1" applyBorder="1" applyAlignment="1">
      <alignment horizontal="center" wrapText="1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24" fillId="2" borderId="20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24" fillId="2" borderId="22" xfId="0" applyFont="1" applyFill="1" applyBorder="1" applyAlignment="1">
      <alignment horizontal="center" vertical="center" wrapText="1"/>
    </xf>
    <xf numFmtId="0" fontId="24" fillId="2" borderId="23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1" fillId="4" borderId="40" xfId="0" applyFont="1" applyFill="1" applyBorder="1" applyAlignment="1" applyProtection="1">
      <alignment horizontal="center"/>
      <protection locked="0"/>
    </xf>
    <xf numFmtId="0" fontId="1" fillId="4" borderId="41" xfId="0" applyFont="1" applyFill="1" applyBorder="1" applyAlignment="1" applyProtection="1">
      <alignment horizontal="center"/>
      <protection locked="0"/>
    </xf>
    <xf numFmtId="0" fontId="1" fillId="4" borderId="43" xfId="0" applyFont="1" applyFill="1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left"/>
    </xf>
    <xf numFmtId="0" fontId="0" fillId="0" borderId="18" xfId="0" applyBorder="1" applyAlignment="1" applyProtection="1">
      <alignment horizontal="left"/>
    </xf>
    <xf numFmtId="0" fontId="1" fillId="4" borderId="33" xfId="0" applyFont="1" applyFill="1" applyBorder="1" applyAlignment="1" applyProtection="1">
      <alignment horizontal="left"/>
    </xf>
    <xf numFmtId="0" fontId="1" fillId="4" borderId="34" xfId="0" applyFont="1" applyFill="1" applyBorder="1" applyAlignment="1" applyProtection="1">
      <alignment horizontal="left"/>
    </xf>
    <xf numFmtId="0" fontId="1" fillId="2" borderId="3" xfId="0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 vertical="center" wrapText="1"/>
    </xf>
    <xf numFmtId="0" fontId="1" fillId="4" borderId="40" xfId="0" applyFont="1" applyFill="1" applyBorder="1" applyAlignment="1" applyProtection="1">
      <alignment horizontal="left"/>
    </xf>
    <xf numFmtId="0" fontId="1" fillId="4" borderId="41" xfId="0" applyFont="1" applyFill="1" applyBorder="1" applyAlignment="1" applyProtection="1">
      <alignment horizontal="left"/>
    </xf>
    <xf numFmtId="0" fontId="1" fillId="4" borderId="42" xfId="0" applyFont="1" applyFill="1" applyBorder="1" applyAlignment="1" applyProtection="1">
      <alignment horizontal="left"/>
    </xf>
    <xf numFmtId="0" fontId="0" fillId="0" borderId="4" xfId="0" applyBorder="1" applyAlignment="1">
      <alignment horizontal="center"/>
    </xf>
    <xf numFmtId="0" fontId="0" fillId="0" borderId="20" xfId="0" applyBorder="1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0" fillId="0" borderId="29" xfId="0" applyBorder="1" applyAlignment="1" applyProtection="1">
      <alignment horizontal="left"/>
    </xf>
    <xf numFmtId="0" fontId="0" fillId="0" borderId="9" xfId="0" applyBorder="1" applyAlignment="1" applyProtection="1">
      <alignment horizontal="left"/>
    </xf>
    <xf numFmtId="0" fontId="0" fillId="0" borderId="37" xfId="0" applyBorder="1" applyAlignment="1" applyProtection="1">
      <alignment horizontal="left"/>
    </xf>
    <xf numFmtId="0" fontId="0" fillId="0" borderId="10" xfId="0" applyBorder="1" applyAlignment="1" applyProtection="1">
      <alignment horizontal="left"/>
    </xf>
    <xf numFmtId="0" fontId="1" fillId="0" borderId="0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17" fontId="0" fillId="0" borderId="0" xfId="0" applyNumberFormat="1"/>
  </cellXfs>
  <cellStyles count="3">
    <cellStyle name="Денежный" xfId="1" builtinId="4"/>
    <cellStyle name="Обычный" xfId="0" builtinId="0"/>
    <cellStyle name="Процентный" xfId="2" builtinId="5"/>
  </cellStyles>
  <dxfs count="0"/>
  <tableStyles count="0" defaultTableStyle="TableStyleMedium9" defaultPivotStyle="PivotStyleLight16"/>
  <colors>
    <mruColors>
      <color rgb="FFFFFFCC"/>
      <color rgb="FFFCD5B4"/>
      <color rgb="FFFDE9D9"/>
      <color rgb="FFFEE002"/>
      <color rgb="FF3333CC"/>
      <color rgb="FF0000FF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204780</xdr:colOff>
      <xdr:row>51</xdr:row>
      <xdr:rowOff>95261</xdr:rowOff>
    </xdr:from>
    <xdr:to>
      <xdr:col>7</xdr:col>
      <xdr:colOff>460368</xdr:colOff>
      <xdr:row>58</xdr:row>
      <xdr:rowOff>755</xdr:rowOff>
    </xdr:to>
    <xdr:pic>
      <xdr:nvPicPr>
        <xdr:cNvPr id="45" name="Рисунок 44" descr="Кромки5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>
        <a:xfrm>
          <a:off x="3319455" y="9448811"/>
          <a:ext cx="1465263" cy="1238994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50</xdr:row>
      <xdr:rowOff>103198</xdr:rowOff>
    </xdr:from>
    <xdr:to>
      <xdr:col>5</xdr:col>
      <xdr:colOff>19050</xdr:colOff>
      <xdr:row>57</xdr:row>
      <xdr:rowOff>166698</xdr:rowOff>
    </xdr:to>
    <xdr:pic>
      <xdr:nvPicPr>
        <xdr:cNvPr id="44" name="Рисунок 43" descr="Кромки5.jp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>
        <a:xfrm>
          <a:off x="238125" y="9266248"/>
          <a:ext cx="2800350" cy="1397000"/>
        </a:xfrm>
        <a:prstGeom prst="rect">
          <a:avLst/>
        </a:prstGeom>
      </xdr:spPr>
    </xdr:pic>
    <xdr:clientData/>
  </xdr:twoCellAnchor>
  <xdr:twoCellAnchor editAs="oneCell">
    <xdr:from>
      <xdr:col>0</xdr:col>
      <xdr:colOff>233358</xdr:colOff>
      <xdr:row>35</xdr:row>
      <xdr:rowOff>160354</xdr:rowOff>
    </xdr:from>
    <xdr:to>
      <xdr:col>1</xdr:col>
      <xdr:colOff>306633</xdr:colOff>
      <xdr:row>39</xdr:row>
      <xdr:rowOff>176229</xdr:rowOff>
    </xdr:to>
    <xdr:pic>
      <xdr:nvPicPr>
        <xdr:cNvPr id="3" name="Рисунок 2" descr="Кромки3.jpg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>
        <a:xfrm>
          <a:off x="233358" y="6105542"/>
          <a:ext cx="541588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577591</xdr:colOff>
      <xdr:row>35</xdr:row>
      <xdr:rowOff>160354</xdr:rowOff>
    </xdr:from>
    <xdr:to>
      <xdr:col>2</xdr:col>
      <xdr:colOff>3166</xdr:colOff>
      <xdr:row>39</xdr:row>
      <xdr:rowOff>176229</xdr:rowOff>
    </xdr:to>
    <xdr:pic>
      <xdr:nvPicPr>
        <xdr:cNvPr id="4" name="Рисунок 3" descr="Кромки3.jpg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>
        <a:xfrm>
          <a:off x="1044316" y="6561154"/>
          <a:ext cx="536825" cy="796925"/>
        </a:xfrm>
        <a:prstGeom prst="rect">
          <a:avLst/>
        </a:prstGeom>
      </xdr:spPr>
    </xdr:pic>
    <xdr:clientData/>
  </xdr:twoCellAnchor>
  <xdr:twoCellAnchor editAs="oneCell">
    <xdr:from>
      <xdr:col>2</xdr:col>
      <xdr:colOff>324874</xdr:colOff>
      <xdr:row>35</xdr:row>
      <xdr:rowOff>120665</xdr:rowOff>
    </xdr:from>
    <xdr:to>
      <xdr:col>3</xdr:col>
      <xdr:colOff>387348</xdr:colOff>
      <xdr:row>40</xdr:row>
      <xdr:rowOff>15</xdr:rowOff>
    </xdr:to>
    <xdr:pic>
      <xdr:nvPicPr>
        <xdr:cNvPr id="7" name="Рисунок 6" descr="Кромки3.jpg"/>
        <xdr:cNvPicPr>
          <a:picLocks noChangeAspect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>
        <a:xfrm>
          <a:off x="1906024" y="6521465"/>
          <a:ext cx="529199" cy="850900"/>
        </a:xfrm>
        <a:prstGeom prst="rect">
          <a:avLst/>
        </a:prstGeom>
      </xdr:spPr>
    </xdr:pic>
    <xdr:clientData/>
  </xdr:twoCellAnchor>
  <xdr:twoCellAnchor editAs="oneCell">
    <xdr:from>
      <xdr:col>8</xdr:col>
      <xdr:colOff>171470</xdr:colOff>
      <xdr:row>35</xdr:row>
      <xdr:rowOff>120665</xdr:rowOff>
    </xdr:from>
    <xdr:to>
      <xdr:col>9</xdr:col>
      <xdr:colOff>157745</xdr:colOff>
      <xdr:row>39</xdr:row>
      <xdr:rowOff>176228</xdr:rowOff>
    </xdr:to>
    <xdr:pic>
      <xdr:nvPicPr>
        <xdr:cNvPr id="8" name="Рисунок 7" descr="Кромки3.jpg"/>
        <xdr:cNvPicPr>
          <a:picLocks noChangeAspect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>
        <a:xfrm>
          <a:off x="4943495" y="6521465"/>
          <a:ext cx="529200" cy="836613"/>
        </a:xfrm>
        <a:prstGeom prst="rect">
          <a:avLst/>
        </a:prstGeom>
      </xdr:spPr>
    </xdr:pic>
    <xdr:clientData/>
  </xdr:twoCellAnchor>
  <xdr:twoCellAnchor editAs="oneCell">
    <xdr:from>
      <xdr:col>4</xdr:col>
      <xdr:colOff>460912</xdr:colOff>
      <xdr:row>35</xdr:row>
      <xdr:rowOff>160354</xdr:rowOff>
    </xdr:from>
    <xdr:to>
      <xdr:col>6</xdr:col>
      <xdr:colOff>372261</xdr:colOff>
      <xdr:row>39</xdr:row>
      <xdr:rowOff>176229</xdr:rowOff>
    </xdr:to>
    <xdr:pic>
      <xdr:nvPicPr>
        <xdr:cNvPr id="9" name="Рисунок 8" descr="Кромки3.jpg"/>
        <xdr:cNvPicPr>
          <a:picLocks noChangeAspect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>
        <a:xfrm>
          <a:off x="2946937" y="6561154"/>
          <a:ext cx="539999" cy="796925"/>
        </a:xfrm>
        <a:prstGeom prst="rect">
          <a:avLst/>
        </a:prstGeom>
      </xdr:spPr>
    </xdr:pic>
    <xdr:clientData/>
  </xdr:twoCellAnchor>
  <xdr:twoCellAnchor editAs="oneCell">
    <xdr:from>
      <xdr:col>6</xdr:col>
      <xdr:colOff>724506</xdr:colOff>
      <xdr:row>35</xdr:row>
      <xdr:rowOff>160354</xdr:rowOff>
    </xdr:from>
    <xdr:to>
      <xdr:col>7</xdr:col>
      <xdr:colOff>54831</xdr:colOff>
      <xdr:row>39</xdr:row>
      <xdr:rowOff>176229</xdr:rowOff>
    </xdr:to>
    <xdr:pic>
      <xdr:nvPicPr>
        <xdr:cNvPr id="11" name="Рисунок 10" descr="Кромки3.jpg"/>
        <xdr:cNvPicPr>
          <a:picLocks noChangeAspect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>
        <a:xfrm>
          <a:off x="3839181" y="6561154"/>
          <a:ext cx="540000" cy="796925"/>
        </a:xfrm>
        <a:prstGeom prst="rect">
          <a:avLst/>
        </a:prstGeom>
      </xdr:spPr>
    </xdr:pic>
    <xdr:clientData/>
  </xdr:twoCellAnchor>
  <xdr:twoCellAnchor>
    <xdr:from>
      <xdr:col>0</xdr:col>
      <xdr:colOff>427873</xdr:colOff>
      <xdr:row>36</xdr:row>
      <xdr:rowOff>49577</xdr:rowOff>
    </xdr:from>
    <xdr:to>
      <xdr:col>1</xdr:col>
      <xdr:colOff>184590</xdr:colOff>
      <xdr:row>37</xdr:row>
      <xdr:rowOff>95344</xdr:rowOff>
    </xdr:to>
    <xdr:sp macro="" textlink="">
      <xdr:nvSpPr>
        <xdr:cNvPr id="12" name="Прямоугольник 11"/>
        <xdr:cNvSpPr/>
      </xdr:nvSpPr>
      <xdr:spPr>
        <a:xfrm>
          <a:off x="427873" y="6185265"/>
          <a:ext cx="225030" cy="236267"/>
        </a:xfrm>
        <a:prstGeom prst="rect">
          <a:avLst/>
        </a:prstGeom>
        <a:ln w="9525">
          <a:solidFill>
            <a:srgbClr val="3333C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100" kern="1200">
              <a:solidFill>
                <a:srgbClr val="3333CC"/>
              </a:solidFill>
              <a:latin typeface="+mn-lt"/>
              <a:ea typeface="+mn-ea"/>
              <a:cs typeface="+mn-cs"/>
            </a:rPr>
            <a:t>1</a:t>
          </a:r>
        </a:p>
      </xdr:txBody>
    </xdr:sp>
    <xdr:clientData/>
  </xdr:twoCellAnchor>
  <xdr:twoCellAnchor>
    <xdr:from>
      <xdr:col>1</xdr:col>
      <xdr:colOff>719007</xdr:colOff>
      <xdr:row>36</xdr:row>
      <xdr:rowOff>47989</xdr:rowOff>
    </xdr:from>
    <xdr:to>
      <xdr:col>1</xdr:col>
      <xdr:colOff>944037</xdr:colOff>
      <xdr:row>37</xdr:row>
      <xdr:rowOff>93756</xdr:rowOff>
    </xdr:to>
    <xdr:sp macro="" textlink="">
      <xdr:nvSpPr>
        <xdr:cNvPr id="13" name="Прямоугольник 12"/>
        <xdr:cNvSpPr/>
      </xdr:nvSpPr>
      <xdr:spPr>
        <a:xfrm>
          <a:off x="1185732" y="6639289"/>
          <a:ext cx="225030" cy="236267"/>
        </a:xfrm>
        <a:prstGeom prst="rect">
          <a:avLst/>
        </a:prstGeom>
        <a:ln w="9525">
          <a:solidFill>
            <a:srgbClr val="3333C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100" kern="1200">
              <a:solidFill>
                <a:srgbClr val="3333CC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2</xdr:col>
      <xdr:colOff>459019</xdr:colOff>
      <xdr:row>36</xdr:row>
      <xdr:rowOff>47990</xdr:rowOff>
    </xdr:from>
    <xdr:to>
      <xdr:col>3</xdr:col>
      <xdr:colOff>218911</xdr:colOff>
      <xdr:row>37</xdr:row>
      <xdr:rowOff>93757</xdr:rowOff>
    </xdr:to>
    <xdr:sp macro="" textlink="">
      <xdr:nvSpPr>
        <xdr:cNvPr id="15" name="Прямоугольник 14"/>
        <xdr:cNvSpPr/>
      </xdr:nvSpPr>
      <xdr:spPr>
        <a:xfrm>
          <a:off x="2040169" y="6639290"/>
          <a:ext cx="226617" cy="236267"/>
        </a:xfrm>
        <a:prstGeom prst="rect">
          <a:avLst/>
        </a:prstGeom>
        <a:ln w="9525">
          <a:solidFill>
            <a:srgbClr val="3333C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100" kern="1200">
              <a:solidFill>
                <a:srgbClr val="3333CC"/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8</xdr:col>
      <xdr:colOff>319554</xdr:colOff>
      <xdr:row>36</xdr:row>
      <xdr:rowOff>47986</xdr:rowOff>
    </xdr:from>
    <xdr:to>
      <xdr:col>9</xdr:col>
      <xdr:colOff>30234</xdr:colOff>
      <xdr:row>37</xdr:row>
      <xdr:rowOff>93753</xdr:rowOff>
    </xdr:to>
    <xdr:sp macro="" textlink="">
      <xdr:nvSpPr>
        <xdr:cNvPr id="17" name="Прямоугольник 16"/>
        <xdr:cNvSpPr/>
      </xdr:nvSpPr>
      <xdr:spPr>
        <a:xfrm>
          <a:off x="5091579" y="6639286"/>
          <a:ext cx="253605" cy="236267"/>
        </a:xfrm>
        <a:prstGeom prst="rect">
          <a:avLst/>
        </a:prstGeom>
        <a:ln w="9525">
          <a:solidFill>
            <a:srgbClr val="3333C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100" kern="1200">
              <a:solidFill>
                <a:srgbClr val="3333CC"/>
              </a:solidFill>
              <a:latin typeface="+mn-lt"/>
              <a:ea typeface="+mn-ea"/>
              <a:cs typeface="+mn-cs"/>
            </a:rPr>
            <a:t>6</a:t>
          </a:r>
        </a:p>
      </xdr:txBody>
    </xdr:sp>
    <xdr:clientData/>
  </xdr:twoCellAnchor>
  <xdr:twoCellAnchor>
    <xdr:from>
      <xdr:col>5</xdr:col>
      <xdr:colOff>55581</xdr:colOff>
      <xdr:row>36</xdr:row>
      <xdr:rowOff>63863</xdr:rowOff>
    </xdr:from>
    <xdr:to>
      <xdr:col>6</xdr:col>
      <xdr:colOff>209395</xdr:colOff>
      <xdr:row>37</xdr:row>
      <xdr:rowOff>109630</xdr:rowOff>
    </xdr:to>
    <xdr:sp macro="" textlink="">
      <xdr:nvSpPr>
        <xdr:cNvPr id="18" name="Прямоугольник 17"/>
        <xdr:cNvSpPr/>
      </xdr:nvSpPr>
      <xdr:spPr>
        <a:xfrm>
          <a:off x="3075006" y="6655163"/>
          <a:ext cx="249064" cy="236267"/>
        </a:xfrm>
        <a:prstGeom prst="rect">
          <a:avLst/>
        </a:prstGeom>
        <a:ln w="9525">
          <a:solidFill>
            <a:srgbClr val="3333C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100" kern="1200">
              <a:solidFill>
                <a:srgbClr val="3333CC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6</xdr:col>
      <xdr:colOff>842423</xdr:colOff>
      <xdr:row>36</xdr:row>
      <xdr:rowOff>63863</xdr:rowOff>
    </xdr:from>
    <xdr:to>
      <xdr:col>6</xdr:col>
      <xdr:colOff>1104900</xdr:colOff>
      <xdr:row>37</xdr:row>
      <xdr:rowOff>109630</xdr:rowOff>
    </xdr:to>
    <xdr:sp macro="" textlink="">
      <xdr:nvSpPr>
        <xdr:cNvPr id="20" name="Прямоугольник 19"/>
        <xdr:cNvSpPr/>
      </xdr:nvSpPr>
      <xdr:spPr>
        <a:xfrm>
          <a:off x="3957098" y="7245713"/>
          <a:ext cx="262477" cy="236267"/>
        </a:xfrm>
        <a:prstGeom prst="rect">
          <a:avLst/>
        </a:prstGeom>
        <a:ln w="9525">
          <a:solidFill>
            <a:srgbClr val="3333C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100" kern="1200">
              <a:solidFill>
                <a:srgbClr val="3333CC"/>
              </a:solidFill>
              <a:latin typeface="+mn-lt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273047</xdr:colOff>
      <xdr:row>35</xdr:row>
      <xdr:rowOff>153134</xdr:rowOff>
    </xdr:from>
    <xdr:to>
      <xdr:col>4</xdr:col>
      <xdr:colOff>286543</xdr:colOff>
      <xdr:row>37</xdr:row>
      <xdr:rowOff>182472</xdr:rowOff>
    </xdr:to>
    <xdr:sp macro="" textlink="">
      <xdr:nvSpPr>
        <xdr:cNvPr id="22" name="TextBox 65"/>
        <xdr:cNvSpPr txBox="1"/>
      </xdr:nvSpPr>
      <xdr:spPr>
        <a:xfrm>
          <a:off x="2320922" y="6553934"/>
          <a:ext cx="451646" cy="410338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solidFill>
                <a:srgbClr val="3333CC"/>
              </a:solidFill>
            </a:rPr>
            <a:t>2</a:t>
          </a:r>
          <a:r>
            <a:rPr lang="ru-RU" sz="1000">
              <a:solidFill>
                <a:srgbClr val="3333CC"/>
              </a:solidFill>
            </a:rPr>
            <a:t>мм</a:t>
          </a:r>
          <a:endParaRPr lang="en-US" sz="1000">
            <a:solidFill>
              <a:srgbClr val="3333CC"/>
            </a:solidFill>
          </a:endParaRPr>
        </a:p>
        <a:p>
          <a:pPr algn="ctr"/>
          <a:r>
            <a:rPr lang="en-US" sz="1000">
              <a:solidFill>
                <a:srgbClr val="3333CC"/>
              </a:solidFill>
            </a:rPr>
            <a:t>5</a:t>
          </a:r>
          <a:r>
            <a:rPr lang="ru-RU" sz="1000">
              <a:solidFill>
                <a:srgbClr val="3333CC"/>
              </a:solidFill>
            </a:rPr>
            <a:t>мм</a:t>
          </a:r>
        </a:p>
      </xdr:txBody>
    </xdr:sp>
    <xdr:clientData/>
  </xdr:twoCellAnchor>
  <xdr:twoCellAnchor>
    <xdr:from>
      <xdr:col>1</xdr:col>
      <xdr:colOff>99618</xdr:colOff>
      <xdr:row>56</xdr:row>
      <xdr:rowOff>51551</xdr:rowOff>
    </xdr:from>
    <xdr:to>
      <xdr:col>1</xdr:col>
      <xdr:colOff>324648</xdr:colOff>
      <xdr:row>57</xdr:row>
      <xdr:rowOff>97318</xdr:rowOff>
    </xdr:to>
    <xdr:sp macro="" textlink="">
      <xdr:nvSpPr>
        <xdr:cNvPr id="29" name="Прямоугольник 28"/>
        <xdr:cNvSpPr/>
      </xdr:nvSpPr>
      <xdr:spPr>
        <a:xfrm>
          <a:off x="567931" y="10013114"/>
          <a:ext cx="225030" cy="236267"/>
        </a:xfrm>
        <a:prstGeom prst="rect">
          <a:avLst/>
        </a:prstGeom>
        <a:ln w="9525">
          <a:solidFill>
            <a:srgbClr val="3333C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100" kern="1200">
              <a:solidFill>
                <a:srgbClr val="3333CC"/>
              </a:solidFill>
              <a:latin typeface="+mn-lt"/>
              <a:ea typeface="+mn-ea"/>
              <a:cs typeface="+mn-cs"/>
            </a:rPr>
            <a:t>1</a:t>
          </a:r>
        </a:p>
      </xdr:txBody>
    </xdr:sp>
    <xdr:clientData/>
  </xdr:twoCellAnchor>
  <xdr:twoCellAnchor>
    <xdr:from>
      <xdr:col>1</xdr:col>
      <xdr:colOff>806062</xdr:colOff>
      <xdr:row>56</xdr:row>
      <xdr:rowOff>26151</xdr:rowOff>
    </xdr:from>
    <xdr:to>
      <xdr:col>1</xdr:col>
      <xdr:colOff>1031092</xdr:colOff>
      <xdr:row>57</xdr:row>
      <xdr:rowOff>71918</xdr:rowOff>
    </xdr:to>
    <xdr:sp macro="" textlink="">
      <xdr:nvSpPr>
        <xdr:cNvPr id="30" name="Прямоугольник 29"/>
        <xdr:cNvSpPr/>
      </xdr:nvSpPr>
      <xdr:spPr>
        <a:xfrm>
          <a:off x="1272787" y="10332201"/>
          <a:ext cx="225030" cy="236267"/>
        </a:xfrm>
        <a:prstGeom prst="rect">
          <a:avLst/>
        </a:prstGeom>
        <a:ln w="9525">
          <a:solidFill>
            <a:srgbClr val="3333C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100" kern="1200">
              <a:solidFill>
                <a:srgbClr val="3333CC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2</xdr:col>
      <xdr:colOff>439356</xdr:colOff>
      <xdr:row>56</xdr:row>
      <xdr:rowOff>42026</xdr:rowOff>
    </xdr:from>
    <xdr:to>
      <xdr:col>3</xdr:col>
      <xdr:colOff>196074</xdr:colOff>
      <xdr:row>57</xdr:row>
      <xdr:rowOff>87793</xdr:rowOff>
    </xdr:to>
    <xdr:sp macro="" textlink="">
      <xdr:nvSpPr>
        <xdr:cNvPr id="31" name="Прямоугольник 30"/>
        <xdr:cNvSpPr/>
      </xdr:nvSpPr>
      <xdr:spPr>
        <a:xfrm>
          <a:off x="2018919" y="10003589"/>
          <a:ext cx="225030" cy="236267"/>
        </a:xfrm>
        <a:prstGeom prst="rect">
          <a:avLst/>
        </a:prstGeom>
        <a:ln w="9525">
          <a:solidFill>
            <a:srgbClr val="3333C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100" kern="1200">
              <a:solidFill>
                <a:srgbClr val="3333CC"/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4</xdr:col>
      <xdr:colOff>225051</xdr:colOff>
      <xdr:row>56</xdr:row>
      <xdr:rowOff>38851</xdr:rowOff>
    </xdr:from>
    <xdr:to>
      <xdr:col>4</xdr:col>
      <xdr:colOff>450081</xdr:colOff>
      <xdr:row>57</xdr:row>
      <xdr:rowOff>84618</xdr:rowOff>
    </xdr:to>
    <xdr:sp macro="" textlink="">
      <xdr:nvSpPr>
        <xdr:cNvPr id="32" name="Прямоугольник 31"/>
        <xdr:cNvSpPr/>
      </xdr:nvSpPr>
      <xdr:spPr>
        <a:xfrm>
          <a:off x="2709489" y="10000414"/>
          <a:ext cx="225030" cy="236267"/>
        </a:xfrm>
        <a:prstGeom prst="rect">
          <a:avLst/>
        </a:prstGeom>
        <a:ln w="9525">
          <a:solidFill>
            <a:srgbClr val="3333C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100" kern="1200">
              <a:solidFill>
                <a:srgbClr val="3333CC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6</xdr:col>
      <xdr:colOff>369516</xdr:colOff>
      <xdr:row>56</xdr:row>
      <xdr:rowOff>54723</xdr:rowOff>
    </xdr:from>
    <xdr:to>
      <xdr:col>6</xdr:col>
      <xdr:colOff>594546</xdr:colOff>
      <xdr:row>57</xdr:row>
      <xdr:rowOff>100490</xdr:rowOff>
    </xdr:to>
    <xdr:sp macro="" textlink="">
      <xdr:nvSpPr>
        <xdr:cNvPr id="34" name="Прямоугольник 33"/>
        <xdr:cNvSpPr/>
      </xdr:nvSpPr>
      <xdr:spPr>
        <a:xfrm>
          <a:off x="3484191" y="10360773"/>
          <a:ext cx="225030" cy="236267"/>
        </a:xfrm>
        <a:prstGeom prst="rect">
          <a:avLst/>
        </a:prstGeom>
        <a:ln w="9525">
          <a:solidFill>
            <a:srgbClr val="3333C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100" kern="1200">
              <a:solidFill>
                <a:srgbClr val="3333CC"/>
              </a:solidFill>
              <a:latin typeface="+mn-lt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7</xdr:col>
      <xdr:colOff>248870</xdr:colOff>
      <xdr:row>56</xdr:row>
      <xdr:rowOff>72186</xdr:rowOff>
    </xdr:from>
    <xdr:to>
      <xdr:col>7</xdr:col>
      <xdr:colOff>473900</xdr:colOff>
      <xdr:row>57</xdr:row>
      <xdr:rowOff>117953</xdr:rowOff>
    </xdr:to>
    <xdr:sp macro="" textlink="">
      <xdr:nvSpPr>
        <xdr:cNvPr id="35" name="Прямоугольник 34"/>
        <xdr:cNvSpPr/>
      </xdr:nvSpPr>
      <xdr:spPr>
        <a:xfrm>
          <a:off x="4354145" y="10378236"/>
          <a:ext cx="225030" cy="236267"/>
        </a:xfrm>
        <a:prstGeom prst="rect">
          <a:avLst/>
        </a:prstGeom>
        <a:ln w="9525">
          <a:solidFill>
            <a:srgbClr val="3333C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100" kern="1200">
              <a:solidFill>
                <a:srgbClr val="3333CC"/>
              </a:solidFill>
              <a:latin typeface="+mn-lt"/>
              <a:ea typeface="+mn-ea"/>
              <a:cs typeface="+mn-cs"/>
            </a:rPr>
            <a:t>6</a:t>
          </a:r>
        </a:p>
      </xdr:txBody>
    </xdr:sp>
    <xdr:clientData/>
  </xdr:twoCellAnchor>
  <xdr:twoCellAnchor editAs="oneCell">
    <xdr:from>
      <xdr:col>2</xdr:col>
      <xdr:colOff>273654</xdr:colOff>
      <xdr:row>43</xdr:row>
      <xdr:rowOff>127011</xdr:rowOff>
    </xdr:from>
    <xdr:to>
      <xdr:col>4</xdr:col>
      <xdr:colOff>408738</xdr:colOff>
      <xdr:row>47</xdr:row>
      <xdr:rowOff>22236</xdr:rowOff>
    </xdr:to>
    <xdr:pic>
      <xdr:nvPicPr>
        <xdr:cNvPr id="24" name="Рисунок 23" descr="Кромки4.jpg"/>
        <xdr:cNvPicPr>
          <a:picLocks noChangeAspect="1"/>
        </xdr:cNvPicPr>
      </xdr:nvPicPr>
      <xdr:blipFill>
        <a:blip xmlns:r="http://schemas.openxmlformats.org/officeDocument/2006/relationships" r:embed="rId9" cstate="print"/>
        <a:srcRect t="1254"/>
        <a:stretch>
          <a:fillRect/>
        </a:stretch>
      </xdr:blipFill>
      <xdr:spPr>
        <a:xfrm>
          <a:off x="1854804" y="7956561"/>
          <a:ext cx="1039959" cy="657225"/>
        </a:xfrm>
        <a:prstGeom prst="rect">
          <a:avLst/>
        </a:prstGeom>
      </xdr:spPr>
    </xdr:pic>
    <xdr:clientData/>
  </xdr:twoCellAnchor>
  <xdr:twoCellAnchor editAs="oneCell">
    <xdr:from>
      <xdr:col>0</xdr:col>
      <xdr:colOff>286940</xdr:colOff>
      <xdr:row>43</xdr:row>
      <xdr:rowOff>160348</xdr:rowOff>
    </xdr:from>
    <xdr:to>
      <xdr:col>1</xdr:col>
      <xdr:colOff>809228</xdr:colOff>
      <xdr:row>47</xdr:row>
      <xdr:rowOff>182573</xdr:rowOff>
    </xdr:to>
    <xdr:pic>
      <xdr:nvPicPr>
        <xdr:cNvPr id="25" name="Рисунок 24" descr="Кромки4.jpg"/>
        <xdr:cNvPicPr>
          <a:picLocks noChangeAspect="1"/>
        </xdr:cNvPicPr>
      </xdr:nvPicPr>
      <xdr:blipFill>
        <a:blip xmlns:r="http://schemas.openxmlformats.org/officeDocument/2006/relationships" r:embed="rId10" cstate="print"/>
        <a:srcRect l="61905" t="76875" r="14285" b="5518"/>
        <a:stretch>
          <a:fillRect/>
        </a:stretch>
      </xdr:blipFill>
      <xdr:spPr>
        <a:xfrm>
          <a:off x="286940" y="7989898"/>
          <a:ext cx="989013" cy="784225"/>
        </a:xfrm>
        <a:prstGeom prst="rect">
          <a:avLst/>
        </a:prstGeom>
      </xdr:spPr>
    </xdr:pic>
    <xdr:clientData/>
  </xdr:twoCellAnchor>
  <xdr:twoCellAnchor>
    <xdr:from>
      <xdr:col>1</xdr:col>
      <xdr:colOff>75810</xdr:colOff>
      <xdr:row>42</xdr:row>
      <xdr:rowOff>117492</xdr:rowOff>
    </xdr:from>
    <xdr:to>
      <xdr:col>1</xdr:col>
      <xdr:colOff>300840</xdr:colOff>
      <xdr:row>43</xdr:row>
      <xdr:rowOff>163259</xdr:rowOff>
    </xdr:to>
    <xdr:sp macro="" textlink="">
      <xdr:nvSpPr>
        <xdr:cNvPr id="26" name="Прямоугольник 25"/>
        <xdr:cNvSpPr/>
      </xdr:nvSpPr>
      <xdr:spPr>
        <a:xfrm>
          <a:off x="544123" y="7412055"/>
          <a:ext cx="225030" cy="236267"/>
        </a:xfrm>
        <a:prstGeom prst="rect">
          <a:avLst/>
        </a:prstGeom>
        <a:ln w="9525">
          <a:solidFill>
            <a:srgbClr val="3333C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100" kern="1200">
              <a:solidFill>
                <a:srgbClr val="3333CC"/>
              </a:solidFill>
              <a:latin typeface="+mn-lt"/>
              <a:ea typeface="+mn-ea"/>
              <a:cs typeface="+mn-cs"/>
            </a:rPr>
            <a:t>1</a:t>
          </a:r>
        </a:p>
      </xdr:txBody>
    </xdr:sp>
    <xdr:clientData/>
  </xdr:twoCellAnchor>
  <xdr:twoCellAnchor>
    <xdr:from>
      <xdr:col>3</xdr:col>
      <xdr:colOff>118703</xdr:colOff>
      <xdr:row>42</xdr:row>
      <xdr:rowOff>115905</xdr:rowOff>
    </xdr:from>
    <xdr:to>
      <xdr:col>3</xdr:col>
      <xdr:colOff>343733</xdr:colOff>
      <xdr:row>43</xdr:row>
      <xdr:rowOff>161672</xdr:rowOff>
    </xdr:to>
    <xdr:sp macro="" textlink="">
      <xdr:nvSpPr>
        <xdr:cNvPr id="27" name="Прямоугольник 26"/>
        <xdr:cNvSpPr/>
      </xdr:nvSpPr>
      <xdr:spPr>
        <a:xfrm>
          <a:off x="2166578" y="7754955"/>
          <a:ext cx="225030" cy="236267"/>
        </a:xfrm>
        <a:prstGeom prst="rect">
          <a:avLst/>
        </a:prstGeom>
        <a:ln w="9525">
          <a:solidFill>
            <a:srgbClr val="3333CC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100" kern="1200">
              <a:solidFill>
                <a:srgbClr val="3333CC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</xdr:col>
      <xdr:colOff>985267</xdr:colOff>
      <xdr:row>35</xdr:row>
      <xdr:rowOff>159530</xdr:rowOff>
    </xdr:from>
    <xdr:to>
      <xdr:col>2</xdr:col>
      <xdr:colOff>257166</xdr:colOff>
      <xdr:row>37</xdr:row>
      <xdr:rowOff>183897</xdr:rowOff>
    </xdr:to>
    <xdr:sp macro="" textlink="">
      <xdr:nvSpPr>
        <xdr:cNvPr id="2" name="TextBox 22"/>
        <xdr:cNvSpPr txBox="1"/>
      </xdr:nvSpPr>
      <xdr:spPr>
        <a:xfrm>
          <a:off x="1451992" y="6560330"/>
          <a:ext cx="386324" cy="40536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000">
              <a:solidFill>
                <a:srgbClr val="3333CC"/>
              </a:solidFill>
            </a:rPr>
            <a:t>R3</a:t>
          </a:r>
        </a:p>
        <a:p>
          <a:r>
            <a:rPr lang="en-US" sz="1000">
              <a:solidFill>
                <a:srgbClr val="3333CC"/>
              </a:solidFill>
            </a:rPr>
            <a:t>R6</a:t>
          </a:r>
        </a:p>
      </xdr:txBody>
    </xdr:sp>
    <xdr:clientData/>
  </xdr:twoCellAnchor>
  <xdr:twoCellAnchor>
    <xdr:from>
      <xdr:col>0</xdr:col>
      <xdr:colOff>238122</xdr:colOff>
      <xdr:row>34</xdr:row>
      <xdr:rowOff>76201</xdr:rowOff>
    </xdr:from>
    <xdr:to>
      <xdr:col>4</xdr:col>
      <xdr:colOff>180974</xdr:colOff>
      <xdr:row>35</xdr:row>
      <xdr:rowOff>76811</xdr:rowOff>
    </xdr:to>
    <xdr:sp macro="" textlink="">
      <xdr:nvSpPr>
        <xdr:cNvPr id="36" name="TextBox 64"/>
        <xdr:cNvSpPr txBox="1"/>
      </xdr:nvSpPr>
      <xdr:spPr>
        <a:xfrm>
          <a:off x="238122" y="6286501"/>
          <a:ext cx="2428877" cy="191110"/>
        </a:xfrm>
        <a:prstGeom prst="rect">
          <a:avLst/>
        </a:prstGeom>
        <a:ln w="12700">
          <a:solidFill>
            <a:srgbClr val="3333CC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ctr" anchorCtr="0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ru-RU" sz="1000" b="1" u="none">
              <a:ln>
                <a:noFill/>
              </a:ln>
              <a:solidFill>
                <a:srgbClr val="3333CC"/>
              </a:solidFill>
            </a:rPr>
            <a:t>Стандартная кромка</a:t>
          </a:r>
        </a:p>
      </xdr:txBody>
    </xdr:sp>
    <xdr:clientData/>
  </xdr:twoCellAnchor>
  <xdr:twoCellAnchor>
    <xdr:from>
      <xdr:col>7</xdr:col>
      <xdr:colOff>561986</xdr:colOff>
      <xdr:row>34</xdr:row>
      <xdr:rowOff>87310</xdr:rowOff>
    </xdr:from>
    <xdr:to>
      <xdr:col>9</xdr:col>
      <xdr:colOff>432311</xdr:colOff>
      <xdr:row>35</xdr:row>
      <xdr:rowOff>76810</xdr:rowOff>
    </xdr:to>
    <xdr:sp macro="" textlink="">
      <xdr:nvSpPr>
        <xdr:cNvPr id="37" name="TextBox 64"/>
        <xdr:cNvSpPr txBox="1"/>
      </xdr:nvSpPr>
      <xdr:spPr>
        <a:xfrm>
          <a:off x="4667261" y="6297610"/>
          <a:ext cx="1080000" cy="180000"/>
        </a:xfrm>
        <a:prstGeom prst="rect">
          <a:avLst/>
        </a:prstGeom>
        <a:ln w="12700">
          <a:solidFill>
            <a:srgbClr val="3333CC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ctr" anchorCtr="0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000" b="1" u="none" kern="1200">
              <a:ln>
                <a:noFill/>
              </a:ln>
              <a:solidFill>
                <a:srgbClr val="3333CC"/>
              </a:solidFill>
              <a:latin typeface="+mn-lt"/>
              <a:ea typeface="+mn-ea"/>
              <a:cs typeface="+mn-cs"/>
            </a:rPr>
            <a:t>Антиперелив</a:t>
          </a:r>
        </a:p>
      </xdr:txBody>
    </xdr:sp>
    <xdr:clientData/>
  </xdr:twoCellAnchor>
  <xdr:twoCellAnchor>
    <xdr:from>
      <xdr:col>4</xdr:col>
      <xdr:colOff>385770</xdr:colOff>
      <xdr:row>34</xdr:row>
      <xdr:rowOff>87311</xdr:rowOff>
    </xdr:from>
    <xdr:to>
      <xdr:col>7</xdr:col>
      <xdr:colOff>381000</xdr:colOff>
      <xdr:row>35</xdr:row>
      <xdr:rowOff>66675</xdr:rowOff>
    </xdr:to>
    <xdr:sp macro="" textlink="">
      <xdr:nvSpPr>
        <xdr:cNvPr id="38" name="TextBox 64"/>
        <xdr:cNvSpPr txBox="1"/>
      </xdr:nvSpPr>
      <xdr:spPr>
        <a:xfrm>
          <a:off x="2871795" y="6297611"/>
          <a:ext cx="1614480" cy="169864"/>
        </a:xfrm>
        <a:prstGeom prst="rect">
          <a:avLst/>
        </a:prstGeom>
        <a:ln w="12700">
          <a:solidFill>
            <a:srgbClr val="3333CC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ctr" anchorCtr="0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000" b="1" u="none" kern="1200">
              <a:ln>
                <a:noFill/>
              </a:ln>
              <a:solidFill>
                <a:srgbClr val="3333CC"/>
              </a:solidFill>
              <a:latin typeface="+mn-lt"/>
              <a:ea typeface="+mn-ea"/>
              <a:cs typeface="+mn-cs"/>
            </a:rPr>
            <a:t>Фигурная кромка</a:t>
          </a:r>
        </a:p>
      </xdr:txBody>
    </xdr:sp>
    <xdr:clientData/>
  </xdr:twoCellAnchor>
  <xdr:twoCellAnchor>
    <xdr:from>
      <xdr:col>0</xdr:col>
      <xdr:colOff>238135</xdr:colOff>
      <xdr:row>41</xdr:row>
      <xdr:rowOff>47619</xdr:rowOff>
    </xdr:from>
    <xdr:to>
      <xdr:col>1</xdr:col>
      <xdr:colOff>809628</xdr:colOff>
      <xdr:row>42</xdr:row>
      <xdr:rowOff>47620</xdr:rowOff>
    </xdr:to>
    <xdr:sp macro="" textlink="">
      <xdr:nvSpPr>
        <xdr:cNvPr id="39" name="TextBox 64"/>
        <xdr:cNvSpPr txBox="1"/>
      </xdr:nvSpPr>
      <xdr:spPr>
        <a:xfrm>
          <a:off x="238135" y="7151682"/>
          <a:ext cx="1039806" cy="190501"/>
        </a:xfrm>
        <a:prstGeom prst="rect">
          <a:avLst/>
        </a:prstGeom>
        <a:ln w="12700">
          <a:solidFill>
            <a:srgbClr val="3333CC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ctr" anchorCtr="0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000" b="1" u="none" kern="1200">
              <a:ln>
                <a:noFill/>
              </a:ln>
              <a:solidFill>
                <a:srgbClr val="3333CC"/>
              </a:solidFill>
              <a:latin typeface="+mn-lt"/>
              <a:ea typeface="+mn-ea"/>
              <a:cs typeface="+mn-cs"/>
            </a:rPr>
            <a:t>с подгибом</a:t>
          </a:r>
        </a:p>
      </xdr:txBody>
    </xdr:sp>
    <xdr:clientData/>
  </xdr:twoCellAnchor>
  <xdr:twoCellAnchor>
    <xdr:from>
      <xdr:col>2</xdr:col>
      <xdr:colOff>241326</xdr:colOff>
      <xdr:row>41</xdr:row>
      <xdr:rowOff>47619</xdr:rowOff>
    </xdr:from>
    <xdr:to>
      <xdr:col>4</xdr:col>
      <xdr:colOff>376257</xdr:colOff>
      <xdr:row>42</xdr:row>
      <xdr:rowOff>47620</xdr:rowOff>
    </xdr:to>
    <xdr:sp macro="" textlink="">
      <xdr:nvSpPr>
        <xdr:cNvPr id="40" name="TextBox 64"/>
        <xdr:cNvSpPr txBox="1"/>
      </xdr:nvSpPr>
      <xdr:spPr>
        <a:xfrm>
          <a:off x="1822476" y="7496169"/>
          <a:ext cx="1039806" cy="190501"/>
        </a:xfrm>
        <a:prstGeom prst="rect">
          <a:avLst/>
        </a:prstGeom>
        <a:ln w="12700">
          <a:solidFill>
            <a:srgbClr val="3333CC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ctr" anchorCtr="0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000" b="1" u="none" kern="1200">
              <a:ln>
                <a:noFill/>
              </a:ln>
              <a:solidFill>
                <a:srgbClr val="3333CC"/>
              </a:solidFill>
              <a:latin typeface="+mn-lt"/>
              <a:ea typeface="+mn-ea"/>
              <a:cs typeface="+mn-cs"/>
            </a:rPr>
            <a:t>без подгиба</a:t>
          </a:r>
        </a:p>
      </xdr:txBody>
    </xdr:sp>
    <xdr:clientData/>
  </xdr:twoCellAnchor>
  <xdr:twoCellAnchor>
    <xdr:from>
      <xdr:col>1</xdr:col>
      <xdr:colOff>754602</xdr:colOff>
      <xdr:row>43</xdr:row>
      <xdr:rowOff>150810</xdr:rowOff>
    </xdr:from>
    <xdr:to>
      <xdr:col>1</xdr:col>
      <xdr:colOff>1023940</xdr:colOff>
      <xdr:row>47</xdr:row>
      <xdr:rowOff>31748</xdr:rowOff>
    </xdr:to>
    <xdr:sp macro="" textlink="">
      <xdr:nvSpPr>
        <xdr:cNvPr id="41" name="TextBox 64"/>
        <xdr:cNvSpPr txBox="1"/>
      </xdr:nvSpPr>
      <xdr:spPr>
        <a:xfrm>
          <a:off x="1222915" y="7635873"/>
          <a:ext cx="269338" cy="642938"/>
        </a:xfrm>
        <a:prstGeom prst="rect">
          <a:avLst/>
        </a:prstGeom>
        <a:noFill/>
      </xdr:spPr>
      <xdr:txBody>
        <a:bodyPr vert="vert270" wrap="square" lIns="36000" tIns="0" rIns="36000" bIns="0" rtlCol="0" anchor="ctr" anchorCtr="1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600"/>
            </a:lnSpc>
          </a:pPr>
          <a:r>
            <a:rPr lang="ru-RU" sz="1000">
              <a:solidFill>
                <a:srgbClr val="3333CC"/>
              </a:solidFill>
            </a:rPr>
            <a:t>высота кромки</a:t>
          </a:r>
        </a:p>
      </xdr:txBody>
    </xdr:sp>
    <xdr:clientData/>
  </xdr:twoCellAnchor>
  <xdr:twoCellAnchor>
    <xdr:from>
      <xdr:col>4</xdr:col>
      <xdr:colOff>376775</xdr:colOff>
      <xdr:row>43</xdr:row>
      <xdr:rowOff>150811</xdr:rowOff>
    </xdr:from>
    <xdr:to>
      <xdr:col>6</xdr:col>
      <xdr:colOff>19051</xdr:colOff>
      <xdr:row>47</xdr:row>
      <xdr:rowOff>31749</xdr:rowOff>
    </xdr:to>
    <xdr:sp macro="" textlink="">
      <xdr:nvSpPr>
        <xdr:cNvPr id="42" name="TextBox 64"/>
        <xdr:cNvSpPr txBox="1"/>
      </xdr:nvSpPr>
      <xdr:spPr>
        <a:xfrm>
          <a:off x="2862800" y="7980361"/>
          <a:ext cx="270926" cy="642938"/>
        </a:xfrm>
        <a:prstGeom prst="rect">
          <a:avLst/>
        </a:prstGeom>
        <a:noFill/>
      </xdr:spPr>
      <xdr:txBody>
        <a:bodyPr vert="vert270" wrap="square" lIns="36000" tIns="0" rIns="36000" bIns="0" rtlCol="0" anchor="ctr" anchorCtr="1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600"/>
            </a:lnSpc>
          </a:pPr>
          <a:r>
            <a:rPr lang="ru-RU" sz="1000">
              <a:solidFill>
                <a:srgbClr val="3333CC"/>
              </a:solidFill>
            </a:rPr>
            <a:t>высота кромки</a:t>
          </a:r>
        </a:p>
      </xdr:txBody>
    </xdr:sp>
    <xdr:clientData/>
  </xdr:twoCellAnchor>
  <xdr:twoCellAnchor>
    <xdr:from>
      <xdr:col>0</xdr:col>
      <xdr:colOff>381538</xdr:colOff>
      <xdr:row>47</xdr:row>
      <xdr:rowOff>150813</xdr:rowOff>
    </xdr:from>
    <xdr:to>
      <xdr:col>1</xdr:col>
      <xdr:colOff>627062</xdr:colOff>
      <xdr:row>48</xdr:row>
      <xdr:rowOff>174623</xdr:rowOff>
    </xdr:to>
    <xdr:sp macro="" textlink="">
      <xdr:nvSpPr>
        <xdr:cNvPr id="43" name="TextBox 64"/>
        <xdr:cNvSpPr txBox="1"/>
      </xdr:nvSpPr>
      <xdr:spPr>
        <a:xfrm>
          <a:off x="381538" y="8397876"/>
          <a:ext cx="713837" cy="214310"/>
        </a:xfrm>
        <a:prstGeom prst="rect">
          <a:avLst/>
        </a:prstGeom>
        <a:noFill/>
      </xdr:spPr>
      <xdr:txBody>
        <a:bodyPr vert="horz" wrap="square" lIns="36000" tIns="0" rIns="36000" bIns="0" rtlCol="0" anchor="ctr" anchorCtr="1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600"/>
            </a:lnSpc>
          </a:pPr>
          <a:r>
            <a:rPr lang="ru-RU" sz="1000">
              <a:solidFill>
                <a:srgbClr val="3333CC"/>
              </a:solidFill>
            </a:rPr>
            <a:t>ширина подгиба</a:t>
          </a:r>
        </a:p>
      </xdr:txBody>
    </xdr:sp>
    <xdr:clientData/>
  </xdr:twoCellAnchor>
  <xdr:twoCellAnchor>
    <xdr:from>
      <xdr:col>0</xdr:col>
      <xdr:colOff>246089</xdr:colOff>
      <xdr:row>49</xdr:row>
      <xdr:rowOff>119058</xdr:rowOff>
    </xdr:from>
    <xdr:to>
      <xdr:col>5</xdr:col>
      <xdr:colOff>85725</xdr:colOff>
      <xdr:row>50</xdr:row>
      <xdr:rowOff>114299</xdr:rowOff>
    </xdr:to>
    <xdr:sp macro="" textlink="">
      <xdr:nvSpPr>
        <xdr:cNvPr id="46" name="TextBox 64"/>
        <xdr:cNvSpPr txBox="1"/>
      </xdr:nvSpPr>
      <xdr:spPr>
        <a:xfrm>
          <a:off x="246089" y="9091608"/>
          <a:ext cx="2859061" cy="185741"/>
        </a:xfrm>
        <a:prstGeom prst="rect">
          <a:avLst/>
        </a:prstGeom>
        <a:ln w="12700">
          <a:solidFill>
            <a:srgbClr val="3333CC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ctr" anchorCtr="0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000" b="1" u="none" kern="1200">
              <a:ln>
                <a:noFill/>
              </a:ln>
              <a:solidFill>
                <a:srgbClr val="3333CC"/>
              </a:solidFill>
              <a:latin typeface="+mn-lt"/>
              <a:ea typeface="+mn-ea"/>
              <a:cs typeface="+mn-cs"/>
            </a:rPr>
            <a:t>Накладной бортик</a:t>
          </a:r>
        </a:p>
      </xdr:txBody>
    </xdr:sp>
    <xdr:clientData/>
  </xdr:twoCellAnchor>
  <xdr:twoCellAnchor>
    <xdr:from>
      <xdr:col>6</xdr:col>
      <xdr:colOff>196869</xdr:colOff>
      <xdr:row>49</xdr:row>
      <xdr:rowOff>119058</xdr:rowOff>
    </xdr:from>
    <xdr:to>
      <xdr:col>8</xdr:col>
      <xdr:colOff>184919</xdr:colOff>
      <xdr:row>50</xdr:row>
      <xdr:rowOff>108558</xdr:rowOff>
    </xdr:to>
    <xdr:sp macro="" textlink="">
      <xdr:nvSpPr>
        <xdr:cNvPr id="47" name="TextBox 64"/>
        <xdr:cNvSpPr txBox="1"/>
      </xdr:nvSpPr>
      <xdr:spPr>
        <a:xfrm>
          <a:off x="3311544" y="9091608"/>
          <a:ext cx="1645400" cy="180000"/>
        </a:xfrm>
        <a:prstGeom prst="rect">
          <a:avLst/>
        </a:prstGeom>
        <a:ln w="12700">
          <a:solidFill>
            <a:srgbClr val="3333CC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ctr" anchorCtr="0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ru-RU" sz="1000" b="1" u="none" kern="1200">
              <a:ln>
                <a:noFill/>
              </a:ln>
              <a:solidFill>
                <a:srgbClr val="3333CC"/>
              </a:solidFill>
              <a:latin typeface="+mn-lt"/>
              <a:ea typeface="+mn-ea"/>
              <a:cs typeface="+mn-cs"/>
            </a:rPr>
            <a:t>Интегрированный бортик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rate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U66"/>
  <sheetViews>
    <sheetView showGridLines="0" topLeftCell="A4" workbookViewId="0">
      <selection activeCell="C7" sqref="C7:G7"/>
    </sheetView>
  </sheetViews>
  <sheetFormatPr defaultColWidth="8.85546875" defaultRowHeight="15" x14ac:dyDescent="0.25"/>
  <cols>
    <col min="1" max="1" width="7" style="126" customWidth="1"/>
    <col min="2" max="2" width="16.7109375" style="126" customWidth="1"/>
    <col min="3" max="3" width="7" style="126" customWidth="1"/>
    <col min="4" max="4" width="6.42578125" style="126" customWidth="1"/>
    <col min="5" max="5" width="8" style="126" customWidth="1"/>
    <col min="6" max="6" width="1.42578125" style="126" customWidth="1"/>
    <col min="7" max="7" width="18.140625" style="126" customWidth="1"/>
    <col min="8" max="8" width="10" style="126" customWidth="1"/>
    <col min="9" max="9" width="8.140625" style="126" customWidth="1"/>
    <col min="10" max="10" width="13.7109375" style="126" customWidth="1"/>
    <col min="11" max="11" width="16.42578125" style="126" customWidth="1"/>
    <col min="12" max="12" width="10.7109375" style="126" bestFit="1" customWidth="1"/>
    <col min="13" max="13" width="8.85546875" style="126"/>
    <col min="14" max="14" width="11.85546875" style="126" customWidth="1"/>
    <col min="15" max="15" width="8.85546875" style="126"/>
    <col min="16" max="16" width="15.85546875" style="126" customWidth="1"/>
    <col min="17" max="16384" width="8.85546875" style="126"/>
  </cols>
  <sheetData>
    <row r="1" spans="1:21" ht="21" customHeight="1" x14ac:dyDescent="0.25">
      <c r="A1" s="329" t="s">
        <v>71</v>
      </c>
      <c r="B1" s="329"/>
      <c r="C1" s="329"/>
      <c r="D1" s="329"/>
      <c r="E1" s="329"/>
      <c r="F1" s="329"/>
      <c r="G1" s="329"/>
      <c r="H1" s="329"/>
      <c r="I1" s="329"/>
      <c r="J1" s="329"/>
      <c r="K1" s="329"/>
    </row>
    <row r="2" spans="1:21" ht="24" customHeight="1" x14ac:dyDescent="0.25">
      <c r="A2" s="334" t="s">
        <v>192</v>
      </c>
      <c r="B2" s="335"/>
      <c r="C2" s="335"/>
      <c r="D2" s="335"/>
      <c r="E2" s="335"/>
      <c r="F2" s="335"/>
      <c r="G2" s="335"/>
      <c r="H2" s="335"/>
      <c r="I2" s="335"/>
      <c r="J2" s="335"/>
      <c r="K2" s="335"/>
      <c r="L2" s="127"/>
      <c r="M2" s="127"/>
      <c r="N2" s="127"/>
      <c r="O2" s="127"/>
    </row>
    <row r="3" spans="1:21" ht="15.75" customHeight="1" x14ac:dyDescent="0.25">
      <c r="A3" s="284" t="s">
        <v>291</v>
      </c>
      <c r="B3" s="186"/>
      <c r="C3" s="186"/>
      <c r="D3" s="186"/>
      <c r="E3" s="186"/>
      <c r="F3" s="186"/>
      <c r="G3" s="333" t="s">
        <v>133</v>
      </c>
      <c r="H3" s="333"/>
      <c r="I3" s="333"/>
      <c r="J3" s="333"/>
      <c r="K3" s="333"/>
      <c r="L3" s="127"/>
      <c r="M3" s="127"/>
      <c r="N3" s="127"/>
      <c r="O3" s="127"/>
    </row>
    <row r="4" spans="1:21" ht="14.25" customHeight="1" x14ac:dyDescent="0.25">
      <c r="A4" s="185"/>
      <c r="B4" s="186"/>
      <c r="C4" s="186"/>
      <c r="D4" s="186"/>
      <c r="E4" s="332" t="s">
        <v>145</v>
      </c>
      <c r="F4" s="332"/>
      <c r="G4" s="332"/>
      <c r="H4" s="332"/>
      <c r="I4" s="160"/>
      <c r="J4" s="331" t="s">
        <v>146</v>
      </c>
      <c r="K4" s="331"/>
      <c r="L4" s="127"/>
      <c r="M4" s="127"/>
      <c r="N4" s="127"/>
      <c r="O4" s="127"/>
    </row>
    <row r="5" spans="1:21" ht="26.25" customHeight="1" x14ac:dyDescent="0.35">
      <c r="B5" s="128"/>
      <c r="C5" s="128"/>
      <c r="D5" s="128"/>
      <c r="E5" s="330" t="s">
        <v>144</v>
      </c>
      <c r="F5" s="330"/>
      <c r="G5" s="330"/>
      <c r="H5" s="330"/>
      <c r="I5" s="169"/>
      <c r="J5" s="169"/>
      <c r="K5" s="169"/>
      <c r="L5" s="127"/>
      <c r="M5" s="127"/>
      <c r="N5" s="127"/>
      <c r="O5" s="127"/>
    </row>
    <row r="6" spans="1:21" ht="11.25" customHeight="1" x14ac:dyDescent="0.25">
      <c r="B6" s="129"/>
      <c r="C6" s="129"/>
      <c r="D6" s="129"/>
      <c r="E6" s="129"/>
      <c r="F6" s="129"/>
      <c r="G6" s="130"/>
      <c r="H6" s="129"/>
      <c r="I6" s="129"/>
      <c r="J6" s="129"/>
      <c r="K6" s="127"/>
      <c r="L6" s="127"/>
      <c r="M6" s="127"/>
      <c r="N6" s="127"/>
      <c r="O6" s="127"/>
    </row>
    <row r="7" spans="1:21" ht="15.75" x14ac:dyDescent="0.25">
      <c r="B7" s="131" t="s">
        <v>22</v>
      </c>
      <c r="C7" s="345" t="s">
        <v>180</v>
      </c>
      <c r="D7" s="346"/>
      <c r="E7" s="346"/>
      <c r="F7" s="346"/>
      <c r="G7" s="347"/>
      <c r="H7" s="172"/>
      <c r="I7" s="129"/>
      <c r="J7" s="129"/>
      <c r="K7" s="127"/>
      <c r="L7" s="127"/>
      <c r="M7" s="127"/>
      <c r="N7" s="127"/>
      <c r="O7" s="127"/>
    </row>
    <row r="8" spans="1:21" ht="13.5" customHeight="1" x14ac:dyDescent="0.25">
      <c r="P8" s="132"/>
    </row>
    <row r="9" spans="1:21" ht="15.75" x14ac:dyDescent="0.25">
      <c r="B9" s="336" t="s">
        <v>1</v>
      </c>
      <c r="C9" s="337"/>
      <c r="D9" s="337"/>
      <c r="E9" s="337"/>
      <c r="F9" s="337"/>
      <c r="G9" s="338"/>
      <c r="H9" s="120" t="s">
        <v>2</v>
      </c>
      <c r="I9" s="121" t="s">
        <v>3</v>
      </c>
      <c r="J9" s="122"/>
      <c r="P9" s="133"/>
    </row>
    <row r="10" spans="1:21" ht="17.25" x14ac:dyDescent="0.25">
      <c r="A10" s="134"/>
      <c r="B10" s="353" t="s">
        <v>41</v>
      </c>
      <c r="C10" s="354"/>
      <c r="D10" s="354"/>
      <c r="E10" s="354"/>
      <c r="F10" s="354"/>
      <c r="G10" s="355"/>
      <c r="H10" s="123" t="s">
        <v>9</v>
      </c>
      <c r="I10" s="171">
        <v>1.89</v>
      </c>
      <c r="J10" s="125">
        <f>IF(I10=0,0.0000000001,IF(I10&lt;=1.1,1.1,IF(I10&lt;=1.8,1.8,I10)))</f>
        <v>1.89</v>
      </c>
      <c r="U10" s="135"/>
    </row>
    <row r="11" spans="1:21" ht="17.25" x14ac:dyDescent="0.25">
      <c r="A11" s="134"/>
      <c r="B11" s="353" t="s">
        <v>4</v>
      </c>
      <c r="C11" s="354"/>
      <c r="D11" s="354"/>
      <c r="E11" s="354"/>
      <c r="F11" s="354"/>
      <c r="G11" s="355"/>
      <c r="H11" s="123" t="s">
        <v>9</v>
      </c>
      <c r="I11" s="171">
        <v>0</v>
      </c>
      <c r="J11" s="125">
        <f>IF(I11=0,0.000000000001,I11)</f>
        <v>9.9999999999999998E-13</v>
      </c>
    </row>
    <row r="12" spans="1:21" ht="14.25" customHeight="1" thickBot="1" x14ac:dyDescent="0.3">
      <c r="P12" s="133"/>
    </row>
    <row r="13" spans="1:21" ht="15.75" x14ac:dyDescent="0.25">
      <c r="A13" s="136" t="s">
        <v>0</v>
      </c>
      <c r="B13" s="350" t="s">
        <v>1</v>
      </c>
      <c r="C13" s="351"/>
      <c r="D13" s="351"/>
      <c r="E13" s="351"/>
      <c r="F13" s="351"/>
      <c r="G13" s="352"/>
      <c r="H13" s="137" t="s">
        <v>2</v>
      </c>
      <c r="I13" s="137" t="s">
        <v>3</v>
      </c>
      <c r="J13" s="137" t="s">
        <v>24</v>
      </c>
      <c r="K13" s="138" t="s">
        <v>81</v>
      </c>
    </row>
    <row r="14" spans="1:21" x14ac:dyDescent="0.25">
      <c r="A14" s="139">
        <v>1</v>
      </c>
      <c r="B14" s="326" t="s">
        <v>80</v>
      </c>
      <c r="C14" s="327"/>
      <c r="D14" s="327"/>
      <c r="E14" s="327"/>
      <c r="F14" s="327"/>
      <c r="G14" s="327"/>
      <c r="H14" s="327"/>
      <c r="I14" s="327"/>
      <c r="J14" s="328"/>
      <c r="K14" s="92">
        <f>'Калькулятор себестоимость'!K14*(1+sys!$C$2)</f>
        <v>26430</v>
      </c>
    </row>
    <row r="15" spans="1:21" x14ac:dyDescent="0.25">
      <c r="A15" s="139">
        <v>2</v>
      </c>
      <c r="B15" s="348" t="s">
        <v>5</v>
      </c>
      <c r="C15" s="348"/>
      <c r="D15" s="348"/>
      <c r="E15" s="348"/>
      <c r="F15" s="348"/>
      <c r="G15" s="348"/>
      <c r="H15" s="140" t="s">
        <v>8</v>
      </c>
      <c r="I15" s="124">
        <v>1</v>
      </c>
      <c r="J15" s="57">
        <f>IF(I15=0,0,'Калькулятор себестоимость'!J15*(1+sys!$C$2))</f>
        <v>743.49442379182153</v>
      </c>
      <c r="K15" s="92">
        <f t="shared" ref="K15:K22" si="0">I15*J15</f>
        <v>743.49442379182153</v>
      </c>
    </row>
    <row r="16" spans="1:21" x14ac:dyDescent="0.25">
      <c r="A16" s="139">
        <v>3</v>
      </c>
      <c r="B16" s="141" t="s">
        <v>45</v>
      </c>
      <c r="C16" s="323" t="s">
        <v>56</v>
      </c>
      <c r="D16" s="324"/>
      <c r="E16" s="324"/>
      <c r="F16" s="324"/>
      <c r="G16" s="325"/>
      <c r="H16" s="140" t="s">
        <v>8</v>
      </c>
      <c r="I16" s="124">
        <v>1</v>
      </c>
      <c r="J16" s="57">
        <f>IF(I16=0,0,'Калькулятор себестоимость'!J16*(1+sys!$C$2))</f>
        <v>2081.7843866171006</v>
      </c>
      <c r="K16" s="92">
        <f t="shared" si="0"/>
        <v>2081.7843866171006</v>
      </c>
      <c r="M16" s="142"/>
    </row>
    <row r="17" spans="1:17" x14ac:dyDescent="0.25">
      <c r="A17" s="139">
        <v>4</v>
      </c>
      <c r="B17" s="143" t="s">
        <v>46</v>
      </c>
      <c r="C17" s="323" t="s">
        <v>47</v>
      </c>
      <c r="D17" s="324"/>
      <c r="E17" s="324"/>
      <c r="F17" s="324"/>
      <c r="G17" s="325"/>
      <c r="H17" s="134" t="s">
        <v>25</v>
      </c>
      <c r="I17" s="124">
        <v>5.91</v>
      </c>
      <c r="J17" s="57">
        <f>IF(I17=0,0,'Калькулятор себестоимость'!J17*(1+sys!$C$2))</f>
        <v>594.79553903345732</v>
      </c>
      <c r="K17" s="92">
        <f t="shared" si="0"/>
        <v>3515.2416356877329</v>
      </c>
    </row>
    <row r="18" spans="1:17" x14ac:dyDescent="0.25">
      <c r="A18" s="139">
        <v>5</v>
      </c>
      <c r="B18" s="143" t="s">
        <v>42</v>
      </c>
      <c r="C18" s="323" t="s">
        <v>49</v>
      </c>
      <c r="D18" s="324"/>
      <c r="E18" s="325"/>
      <c r="F18" s="144"/>
      <c r="G18" s="163">
        <v>40</v>
      </c>
      <c r="H18" s="134" t="s">
        <v>25</v>
      </c>
      <c r="I18" s="124">
        <v>4.7</v>
      </c>
      <c r="J18" s="57">
        <f>IF(I18=0,0,'Калькулятор себестоимость'!J18*(1+sys!$C$2))</f>
        <v>470</v>
      </c>
      <c r="K18" s="92">
        <f t="shared" si="0"/>
        <v>2209</v>
      </c>
    </row>
    <row r="19" spans="1:17" x14ac:dyDescent="0.25">
      <c r="A19" s="139">
        <v>6</v>
      </c>
      <c r="B19" s="326" t="s">
        <v>44</v>
      </c>
      <c r="C19" s="327"/>
      <c r="D19" s="327"/>
      <c r="E19" s="328"/>
      <c r="F19" s="145"/>
      <c r="G19" s="164">
        <v>40</v>
      </c>
      <c r="H19" s="134" t="s">
        <v>25</v>
      </c>
      <c r="I19" s="124">
        <v>0</v>
      </c>
      <c r="J19" s="57">
        <f>IF(I19=0,0,'Калькулятор себестоимость'!J19*(1+sys!$C$2))</f>
        <v>0</v>
      </c>
      <c r="K19" s="92">
        <f t="shared" si="0"/>
        <v>0</v>
      </c>
    </row>
    <row r="20" spans="1:17" x14ac:dyDescent="0.25">
      <c r="A20" s="139">
        <v>7</v>
      </c>
      <c r="B20" s="348" t="s">
        <v>142</v>
      </c>
      <c r="C20" s="348"/>
      <c r="D20" s="348"/>
      <c r="E20" s="348"/>
      <c r="F20" s="348"/>
      <c r="G20" s="348"/>
      <c r="H20" s="146" t="s">
        <v>143</v>
      </c>
      <c r="I20" s="124">
        <v>0</v>
      </c>
      <c r="J20" s="57">
        <f>IF(I20=0,0,'Калькулятор себестоимость'!J20*(1+sys!$C$2))</f>
        <v>0</v>
      </c>
      <c r="K20" s="92">
        <f t="shared" si="0"/>
        <v>0</v>
      </c>
    </row>
    <row r="21" spans="1:17" x14ac:dyDescent="0.25">
      <c r="A21" s="139">
        <v>8</v>
      </c>
      <c r="B21" s="348" t="s">
        <v>264</v>
      </c>
      <c r="C21" s="348"/>
      <c r="D21" s="348"/>
      <c r="E21" s="348"/>
      <c r="F21" s="348"/>
      <c r="G21" s="348"/>
      <c r="H21" s="146" t="s">
        <v>8</v>
      </c>
      <c r="I21" s="124">
        <v>1</v>
      </c>
      <c r="J21" s="57">
        <f>IF(I21=0,0,CEILING('Калькулятор себестоимость'!J21*(1+sys!$C$2),100))</f>
        <v>4100</v>
      </c>
      <c r="K21" s="92">
        <f t="shared" si="0"/>
        <v>4100</v>
      </c>
    </row>
    <row r="22" spans="1:17" ht="15.75" thickBot="1" x14ac:dyDescent="0.3">
      <c r="A22" s="147">
        <v>9</v>
      </c>
      <c r="B22" s="349" t="s">
        <v>121</v>
      </c>
      <c r="C22" s="349"/>
      <c r="D22" s="349"/>
      <c r="E22" s="349"/>
      <c r="F22" s="349"/>
      <c r="G22" s="349"/>
      <c r="H22" s="148" t="s">
        <v>8</v>
      </c>
      <c r="I22" s="161">
        <v>1</v>
      </c>
      <c r="J22" s="241">
        <v>2500</v>
      </c>
      <c r="K22" s="99">
        <f t="shared" si="0"/>
        <v>2500</v>
      </c>
    </row>
    <row r="23" spans="1:17" x14ac:dyDescent="0.25">
      <c r="A23" s="149">
        <v>10</v>
      </c>
      <c r="B23" s="306" t="s">
        <v>43</v>
      </c>
      <c r="C23" s="307"/>
      <c r="D23" s="308" t="s">
        <v>100</v>
      </c>
      <c r="E23" s="309"/>
      <c r="F23" s="309"/>
      <c r="G23" s="310"/>
      <c r="H23" s="150" t="s">
        <v>8</v>
      </c>
      <c r="I23" s="162">
        <v>0</v>
      </c>
      <c r="J23" s="151">
        <f>IF(I23=0,0,'Калькулятор себестоимость'!J23*(1+sys!$C$2))</f>
        <v>0</v>
      </c>
      <c r="K23" s="97">
        <f t="shared" ref="K23:K30" si="1">I23*J23</f>
        <v>0</v>
      </c>
    </row>
    <row r="24" spans="1:17" x14ac:dyDescent="0.25">
      <c r="A24" s="139">
        <v>11</v>
      </c>
      <c r="B24" s="311" t="s">
        <v>77</v>
      </c>
      <c r="C24" s="311"/>
      <c r="D24" s="311"/>
      <c r="E24" s="311"/>
      <c r="F24" s="311"/>
      <c r="G24" s="311"/>
      <c r="H24" s="152" t="s">
        <v>8</v>
      </c>
      <c r="I24" s="124">
        <v>0</v>
      </c>
      <c r="J24" s="153">
        <f>IF(I24=0,0,'Калькулятор себестоимость'!J24*(1+sys!$C$2))</f>
        <v>0</v>
      </c>
      <c r="K24" s="93">
        <f t="shared" si="1"/>
        <v>0</v>
      </c>
    </row>
    <row r="25" spans="1:17" x14ac:dyDescent="0.25">
      <c r="A25" s="139">
        <v>12</v>
      </c>
      <c r="B25" s="311" t="s">
        <v>78</v>
      </c>
      <c r="C25" s="311"/>
      <c r="D25" s="311"/>
      <c r="E25" s="311"/>
      <c r="F25" s="311"/>
      <c r="G25" s="311"/>
      <c r="H25" s="152" t="s">
        <v>8</v>
      </c>
      <c r="I25" s="124">
        <v>0</v>
      </c>
      <c r="J25" s="153">
        <f>IF(I25=0,0,'Калькулятор себестоимость'!J25*(1+sys!$C$2))</f>
        <v>0</v>
      </c>
      <c r="K25" s="93">
        <f t="shared" si="1"/>
        <v>0</v>
      </c>
      <c r="P25" s="135"/>
      <c r="Q25" s="135"/>
    </row>
    <row r="26" spans="1:17" x14ac:dyDescent="0.25">
      <c r="A26" s="139">
        <v>13</v>
      </c>
      <c r="B26" s="311" t="s">
        <v>83</v>
      </c>
      <c r="C26" s="311"/>
      <c r="D26" s="311"/>
      <c r="E26" s="311"/>
      <c r="F26" s="311"/>
      <c r="G26" s="311"/>
      <c r="H26" s="152" t="s">
        <v>8</v>
      </c>
      <c r="I26" s="242">
        <v>0</v>
      </c>
      <c r="J26" s="153">
        <f>IF(I26=0,0,'Калькулятор себестоимость'!J26*(1+sys!$C$2))</f>
        <v>0</v>
      </c>
      <c r="K26" s="93">
        <f t="shared" si="1"/>
        <v>0</v>
      </c>
      <c r="P26" s="135"/>
      <c r="Q26" s="135"/>
    </row>
    <row r="27" spans="1:17" x14ac:dyDescent="0.25">
      <c r="A27" s="235">
        <v>14</v>
      </c>
      <c r="B27" s="342" t="s">
        <v>265</v>
      </c>
      <c r="C27" s="343"/>
      <c r="D27" s="343"/>
      <c r="E27" s="343"/>
      <c r="F27" s="343"/>
      <c r="G27" s="344"/>
      <c r="H27" s="152" t="s">
        <v>267</v>
      </c>
      <c r="I27" s="243">
        <v>0</v>
      </c>
      <c r="J27" s="153">
        <f>IF(I27=0,0,'Калькулятор себестоимость'!J27*(1+sys!$C$2))</f>
        <v>0</v>
      </c>
      <c r="K27" s="93">
        <f t="shared" si="1"/>
        <v>0</v>
      </c>
      <c r="L27" s="126" t="s">
        <v>266</v>
      </c>
      <c r="P27" s="135"/>
      <c r="Q27" s="135"/>
    </row>
    <row r="28" spans="1:17" ht="16.5" customHeight="1" x14ac:dyDescent="0.25">
      <c r="A28" s="235">
        <v>15</v>
      </c>
      <c r="B28" s="342" t="s">
        <v>257</v>
      </c>
      <c r="C28" s="343"/>
      <c r="D28" s="343"/>
      <c r="E28" s="343"/>
      <c r="F28" s="343"/>
      <c r="G28" s="344"/>
      <c r="H28" s="236" t="s">
        <v>9</v>
      </c>
      <c r="I28" s="243">
        <v>0</v>
      </c>
      <c r="J28" s="153">
        <f>IF(I28=0,0,'Калькулятор себестоимость'!J28*(1+sys!$C$2))</f>
        <v>0</v>
      </c>
      <c r="K28" s="93">
        <f t="shared" si="1"/>
        <v>0</v>
      </c>
      <c r="P28" s="135"/>
      <c r="Q28" s="135"/>
    </row>
    <row r="29" spans="1:17" x14ac:dyDescent="0.25">
      <c r="A29" s="235">
        <v>16</v>
      </c>
      <c r="B29" s="339" t="s">
        <v>258</v>
      </c>
      <c r="C29" s="340"/>
      <c r="D29" s="340"/>
      <c r="E29" s="340"/>
      <c r="F29" s="340"/>
      <c r="G29" s="341"/>
      <c r="H29" s="236" t="s">
        <v>259</v>
      </c>
      <c r="I29" s="243">
        <v>0</v>
      </c>
      <c r="J29" s="240">
        <v>0</v>
      </c>
      <c r="K29" s="93">
        <f t="shared" si="1"/>
        <v>0</v>
      </c>
      <c r="P29" s="135"/>
      <c r="Q29" s="135"/>
    </row>
    <row r="30" spans="1:17" ht="15.75" thickBot="1" x14ac:dyDescent="0.3">
      <c r="A30" s="147">
        <v>17</v>
      </c>
      <c r="B30" s="322"/>
      <c r="C30" s="322"/>
      <c r="D30" s="322"/>
      <c r="E30" s="322"/>
      <c r="F30" s="322"/>
      <c r="G30" s="322"/>
      <c r="H30" s="154" t="s">
        <v>8</v>
      </c>
      <c r="I30" s="244">
        <v>0</v>
      </c>
      <c r="J30" s="241">
        <v>0</v>
      </c>
      <c r="K30" s="95">
        <f t="shared" si="1"/>
        <v>0</v>
      </c>
      <c r="O30" s="168"/>
      <c r="P30" s="297"/>
      <c r="Q30" s="135"/>
    </row>
    <row r="31" spans="1:17" x14ac:dyDescent="0.25">
      <c r="A31" s="155"/>
      <c r="B31" s="155"/>
      <c r="C31" s="155"/>
      <c r="D31" s="155"/>
      <c r="E31" s="155"/>
      <c r="F31" s="155"/>
      <c r="G31" s="155"/>
      <c r="H31" s="316" t="s">
        <v>7</v>
      </c>
      <c r="I31" s="317"/>
      <c r="J31" s="318"/>
      <c r="K31" s="100">
        <f>SUM(K14:K30)</f>
        <v>41579.520446096649</v>
      </c>
      <c r="P31" s="297"/>
      <c r="Q31" s="135"/>
    </row>
    <row r="32" spans="1:17" ht="15.75" thickBot="1" x14ac:dyDescent="0.3">
      <c r="G32" s="156"/>
      <c r="H32" s="319" t="s">
        <v>34</v>
      </c>
      <c r="I32" s="320"/>
      <c r="J32" s="321"/>
      <c r="K32" s="165">
        <v>5054</v>
      </c>
      <c r="P32" s="297"/>
      <c r="Q32" s="135"/>
    </row>
    <row r="33" spans="2:17" ht="15.75" thickBot="1" x14ac:dyDescent="0.3">
      <c r="B33" s="142"/>
      <c r="C33" s="157"/>
      <c r="D33" s="157"/>
      <c r="E33" s="157"/>
      <c r="F33" s="157"/>
      <c r="G33" s="158"/>
      <c r="H33" s="303" t="s">
        <v>271</v>
      </c>
      <c r="I33" s="304"/>
      <c r="J33" s="305"/>
      <c r="K33" s="102">
        <f>K31-K32</f>
        <v>36525.520446096649</v>
      </c>
      <c r="P33" s="239">
        <f>K33-себ.!K38</f>
        <v>16869.989356900995</v>
      </c>
      <c r="Q33" s="135"/>
    </row>
    <row r="34" spans="2:17" ht="9" customHeight="1" x14ac:dyDescent="0.25">
      <c r="K34" s="156"/>
      <c r="P34" s="297"/>
      <c r="Q34" s="135"/>
    </row>
    <row r="35" spans="2:17" x14ac:dyDescent="0.25">
      <c r="P35" s="135"/>
      <c r="Q35" s="135"/>
    </row>
    <row r="36" spans="2:17" x14ac:dyDescent="0.25">
      <c r="P36" s="135"/>
      <c r="Q36" s="135"/>
    </row>
    <row r="37" spans="2:17" x14ac:dyDescent="0.25">
      <c r="P37" s="135"/>
      <c r="Q37" s="135"/>
    </row>
    <row r="39" spans="2:17" ht="16.5" customHeight="1" x14ac:dyDescent="0.25"/>
    <row r="41" spans="2:17" ht="6" customHeight="1" x14ac:dyDescent="0.25"/>
    <row r="59" spans="1:11" ht="12" customHeight="1" x14ac:dyDescent="0.25">
      <c r="A59" s="126" t="s">
        <v>286</v>
      </c>
    </row>
    <row r="60" spans="1:11" x14ac:dyDescent="0.25">
      <c r="A60" s="314" t="s">
        <v>204</v>
      </c>
      <c r="B60" s="314"/>
      <c r="C60" s="314"/>
      <c r="D60" s="314"/>
      <c r="E60" s="314"/>
      <c r="F60" s="314"/>
      <c r="I60" s="313" t="s">
        <v>135</v>
      </c>
      <c r="J60" s="313"/>
      <c r="K60" s="313"/>
    </row>
    <row r="61" spans="1:11" x14ac:dyDescent="0.25">
      <c r="A61" s="314" t="s">
        <v>134</v>
      </c>
      <c r="B61" s="314"/>
      <c r="C61" s="314"/>
      <c r="D61" s="314"/>
      <c r="E61" s="314"/>
      <c r="F61" s="314"/>
      <c r="I61" s="314"/>
      <c r="J61" s="314"/>
      <c r="K61" s="314"/>
    </row>
    <row r="62" spans="1:11" ht="16.5" customHeight="1" x14ac:dyDescent="0.25">
      <c r="A62" s="315" t="s">
        <v>287</v>
      </c>
      <c r="B62" s="315"/>
      <c r="C62" s="315"/>
      <c r="D62" s="315"/>
      <c r="E62" s="315"/>
      <c r="F62" s="315"/>
      <c r="I62" s="314" t="s">
        <v>136</v>
      </c>
      <c r="J62" s="314"/>
      <c r="K62" s="314"/>
    </row>
    <row r="63" spans="1:11" ht="13.5" customHeight="1" x14ac:dyDescent="0.25">
      <c r="A63" s="174"/>
      <c r="B63" s="166" t="s">
        <v>137</v>
      </c>
      <c r="C63" s="166"/>
      <c r="D63" s="166"/>
      <c r="E63" s="166"/>
      <c r="F63" s="166"/>
      <c r="I63" s="167"/>
      <c r="J63" s="166" t="s">
        <v>137</v>
      </c>
      <c r="K63" s="167"/>
    </row>
    <row r="64" spans="1:11" x14ac:dyDescent="0.25">
      <c r="A64" s="314" t="s">
        <v>139</v>
      </c>
      <c r="B64" s="314"/>
      <c r="C64" s="314"/>
      <c r="D64" s="314"/>
      <c r="E64" s="314"/>
      <c r="F64" s="314"/>
      <c r="I64" s="314" t="s">
        <v>138</v>
      </c>
      <c r="J64" s="314"/>
      <c r="K64" s="314"/>
    </row>
    <row r="65" spans="1:6" x14ac:dyDescent="0.25">
      <c r="A65" s="312"/>
      <c r="B65" s="312"/>
      <c r="C65" s="312"/>
      <c r="D65" s="312"/>
      <c r="E65" s="312"/>
      <c r="F65" s="312"/>
    </row>
    <row r="66" spans="1:6" x14ac:dyDescent="0.25">
      <c r="A66" s="159"/>
      <c r="B66" s="159"/>
      <c r="C66" s="159"/>
      <c r="D66" s="159"/>
      <c r="E66" s="159"/>
      <c r="F66" s="159"/>
    </row>
  </sheetData>
  <mergeCells count="41">
    <mergeCell ref="B29:G29"/>
    <mergeCell ref="B28:G28"/>
    <mergeCell ref="C7:G7"/>
    <mergeCell ref="B27:G27"/>
    <mergeCell ref="B25:G25"/>
    <mergeCell ref="B26:G26"/>
    <mergeCell ref="B20:G20"/>
    <mergeCell ref="B21:G21"/>
    <mergeCell ref="B22:G22"/>
    <mergeCell ref="B14:J14"/>
    <mergeCell ref="B13:G13"/>
    <mergeCell ref="B10:G10"/>
    <mergeCell ref="B11:G11"/>
    <mergeCell ref="C17:G17"/>
    <mergeCell ref="B15:G15"/>
    <mergeCell ref="C16:G16"/>
    <mergeCell ref="C18:E18"/>
    <mergeCell ref="B19:E19"/>
    <mergeCell ref="A1:K1"/>
    <mergeCell ref="E5:H5"/>
    <mergeCell ref="J4:K4"/>
    <mergeCell ref="E4:H4"/>
    <mergeCell ref="G3:K3"/>
    <mergeCell ref="A2:K2"/>
    <mergeCell ref="B9:G9"/>
    <mergeCell ref="H33:J33"/>
    <mergeCell ref="B23:C23"/>
    <mergeCell ref="D23:G23"/>
    <mergeCell ref="B24:G24"/>
    <mergeCell ref="A65:F65"/>
    <mergeCell ref="I60:K60"/>
    <mergeCell ref="I61:K61"/>
    <mergeCell ref="I62:K62"/>
    <mergeCell ref="I64:K64"/>
    <mergeCell ref="A60:F60"/>
    <mergeCell ref="A61:F61"/>
    <mergeCell ref="A62:F62"/>
    <mergeCell ref="A64:F64"/>
    <mergeCell ref="H31:J31"/>
    <mergeCell ref="H32:J32"/>
    <mergeCell ref="B30:G30"/>
  </mergeCells>
  <dataValidations count="7">
    <dataValidation type="list" allowBlank="1" showInputMessage="1" showErrorMessage="1" sqref="G19">
      <formula1>Подгиб</formula1>
    </dataValidation>
    <dataValidation type="list" allowBlank="1" showInputMessage="1" showErrorMessage="1" sqref="G18">
      <formula1>Кромка</formula1>
    </dataValidation>
    <dataValidation type="list" allowBlank="1" showInputMessage="1" showErrorMessage="1" sqref="C17:G17">
      <formula1>Бортик</formula1>
    </dataValidation>
    <dataValidation type="list" allowBlank="1" showInputMessage="1" showErrorMessage="1" sqref="C18">
      <formula1>Тип_кромки</formula1>
    </dataValidation>
    <dataValidation type="list" allowBlank="1" showInputMessage="1" showErrorMessage="1" sqref="C16:G16">
      <formula1>Вырез_под_мойку</formula1>
    </dataValidation>
    <dataValidation type="list" allowBlank="1" showInputMessage="1" showErrorMessage="1" sqref="D23:G23">
      <formula1>Мойки</formula1>
    </dataValidation>
    <dataValidation type="list" allowBlank="1" showInputMessage="1" showErrorMessage="1" sqref="C7">
      <formula1>Материал</formula1>
    </dataValidation>
  </dataValidations>
  <pageMargins left="0.78740157480314965" right="0.31496062992125984" top="0.35433070866141736" bottom="0.55118110236220474" header="0.31496062992125984" footer="0.31496062992125984"/>
  <pageSetup paperSize="9" scale="80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57"/>
  <sheetViews>
    <sheetView view="pageBreakPreview" topLeftCell="A28" zoomScaleSheetLayoutView="100" workbookViewId="0">
      <selection activeCell="L15" sqref="L15"/>
    </sheetView>
  </sheetViews>
  <sheetFormatPr defaultColWidth="8.85546875" defaultRowHeight="15" x14ac:dyDescent="0.25"/>
  <cols>
    <col min="1" max="1" width="46.7109375" style="52" customWidth="1"/>
    <col min="2" max="2" width="8.28515625" style="52" customWidth="1"/>
    <col min="3" max="3" width="8.140625" style="52" customWidth="1"/>
    <col min="4" max="4" width="16" style="52" customWidth="1"/>
    <col min="5" max="5" width="11.85546875" style="52" customWidth="1"/>
    <col min="6" max="6" width="2" style="52" customWidth="1"/>
    <col min="7" max="7" width="8.85546875" style="52"/>
    <col min="8" max="8" width="19.42578125" style="52" customWidth="1"/>
    <col min="9" max="9" width="9.85546875" style="52" customWidth="1"/>
    <col min="10" max="10" width="2.28515625" style="52" customWidth="1"/>
    <col min="11" max="11" width="19.140625" style="52" customWidth="1"/>
    <col min="12" max="12" width="7.7109375" style="52" customWidth="1"/>
    <col min="13" max="16384" width="8.85546875" style="52"/>
  </cols>
  <sheetData>
    <row r="1" spans="1:12" ht="27.75" customHeight="1" x14ac:dyDescent="0.25">
      <c r="A1" s="406" t="s">
        <v>205</v>
      </c>
      <c r="B1" s="406"/>
      <c r="C1" s="406"/>
      <c r="D1" s="406"/>
      <c r="E1" s="406"/>
    </row>
    <row r="2" spans="1:12" ht="33.75" customHeight="1" x14ac:dyDescent="0.3">
      <c r="A2" s="407" t="s">
        <v>206</v>
      </c>
      <c r="B2" s="408"/>
      <c r="C2" s="408"/>
      <c r="D2" s="408"/>
      <c r="E2" s="408"/>
    </row>
    <row r="3" spans="1:12" ht="22.5" customHeight="1" x14ac:dyDescent="0.25">
      <c r="A3" s="193"/>
      <c r="B3" s="194"/>
      <c r="C3" s="194"/>
      <c r="D3" s="194"/>
      <c r="E3" s="194"/>
    </row>
    <row r="4" spans="1:12" x14ac:dyDescent="0.25">
      <c r="A4" s="195" t="s">
        <v>207</v>
      </c>
      <c r="B4" s="409"/>
      <c r="C4" s="410"/>
      <c r="D4" s="410"/>
      <c r="E4" s="411"/>
    </row>
    <row r="5" spans="1:12" ht="27.75" customHeight="1" x14ac:dyDescent="0.25">
      <c r="A5" s="196" t="s">
        <v>208</v>
      </c>
      <c r="B5" s="412"/>
      <c r="C5" s="413"/>
      <c r="D5" s="197" t="s">
        <v>209</v>
      </c>
      <c r="E5" s="198"/>
    </row>
    <row r="6" spans="1:12" ht="15" customHeight="1" x14ac:dyDescent="0.25">
      <c r="A6" s="195" t="s">
        <v>210</v>
      </c>
      <c r="B6" s="404"/>
      <c r="C6" s="404"/>
      <c r="D6" s="404"/>
      <c r="E6" s="404"/>
      <c r="G6" s="403" t="s">
        <v>211</v>
      </c>
      <c r="H6" s="403"/>
      <c r="I6" s="403"/>
    </row>
    <row r="7" spans="1:12" x14ac:dyDescent="0.25">
      <c r="A7" s="195" t="s">
        <v>212</v>
      </c>
      <c r="B7" s="404"/>
      <c r="C7" s="405"/>
      <c r="D7" s="405"/>
      <c r="E7" s="405"/>
      <c r="G7" s="403"/>
      <c r="H7" s="403"/>
      <c r="I7" s="403"/>
    </row>
    <row r="8" spans="1:12" x14ac:dyDescent="0.25">
      <c r="A8" s="195" t="s">
        <v>23</v>
      </c>
      <c r="B8" s="404"/>
      <c r="C8" s="404"/>
      <c r="D8" s="404"/>
      <c r="E8" s="404"/>
    </row>
    <row r="9" spans="1:12" ht="15.75" thickBot="1" x14ac:dyDescent="0.3">
      <c r="A9" s="199"/>
      <c r="B9" s="199"/>
      <c r="C9" s="199"/>
      <c r="D9" s="199"/>
      <c r="E9" s="199"/>
    </row>
    <row r="10" spans="1:12" ht="30" x14ac:dyDescent="0.25">
      <c r="A10" s="200" t="s">
        <v>213</v>
      </c>
      <c r="B10" s="201" t="s">
        <v>214</v>
      </c>
      <c r="C10" s="201" t="s">
        <v>215</v>
      </c>
      <c r="D10" s="202" t="s">
        <v>216</v>
      </c>
      <c r="E10" s="203" t="s">
        <v>217</v>
      </c>
      <c r="G10" s="417" t="s">
        <v>218</v>
      </c>
      <c r="H10" s="418"/>
      <c r="I10" s="283" t="s">
        <v>219</v>
      </c>
    </row>
    <row r="11" spans="1:12" x14ac:dyDescent="0.25">
      <c r="A11" s="204" t="s">
        <v>80</v>
      </c>
      <c r="B11" s="205" t="s">
        <v>220</v>
      </c>
      <c r="C11" s="205">
        <v>1765</v>
      </c>
      <c r="D11" s="287">
        <f>себ.!N24</f>
        <v>2.0779999999999998</v>
      </c>
      <c r="E11" s="289">
        <f>C11*D11</f>
        <v>3667.6699999999996</v>
      </c>
      <c r="G11" s="419" t="s">
        <v>221</v>
      </c>
      <c r="H11" s="420"/>
      <c r="I11" s="416"/>
    </row>
    <row r="12" spans="1:12" x14ac:dyDescent="0.25">
      <c r="A12" s="204" t="s">
        <v>222</v>
      </c>
      <c r="B12" s="205" t="s">
        <v>220</v>
      </c>
      <c r="C12" s="205">
        <v>1000</v>
      </c>
      <c r="D12" s="288">
        <f>себ.!N25</f>
        <v>0</v>
      </c>
      <c r="E12" s="289">
        <f t="shared" ref="E12:E27" si="0">C12*D12</f>
        <v>0</v>
      </c>
      <c r="G12" s="419"/>
      <c r="H12" s="420"/>
      <c r="I12" s="416"/>
    </row>
    <row r="13" spans="1:12" x14ac:dyDescent="0.25">
      <c r="A13" s="204" t="str">
        <f>себ.!C18</f>
        <v>Накладной</v>
      </c>
      <c r="B13" s="205" t="s">
        <v>25</v>
      </c>
      <c r="C13" s="205">
        <f>себ.!J18</f>
        <v>148.69888475836433</v>
      </c>
      <c r="D13" s="288">
        <f>себ.!I18</f>
        <v>5.91</v>
      </c>
      <c r="E13" s="289">
        <f t="shared" si="0"/>
        <v>878.81040892193323</v>
      </c>
      <c r="G13" s="419" t="s">
        <v>270</v>
      </c>
      <c r="H13" s="420"/>
      <c r="I13" s="416"/>
      <c r="K13" s="266" t="s">
        <v>268</v>
      </c>
      <c r="L13" s="267">
        <f>себ.!N13</f>
        <v>2.3734999999999999</v>
      </c>
    </row>
    <row r="14" spans="1:12" x14ac:dyDescent="0.25">
      <c r="A14" s="204" t="s">
        <v>5</v>
      </c>
      <c r="B14" s="205" t="s">
        <v>8</v>
      </c>
      <c r="C14" s="205">
        <v>500</v>
      </c>
      <c r="D14" s="288">
        <f>себ.!I16</f>
        <v>1</v>
      </c>
      <c r="E14" s="289">
        <f t="shared" si="0"/>
        <v>500</v>
      </c>
      <c r="G14" s="419"/>
      <c r="H14" s="420"/>
      <c r="I14" s="416"/>
      <c r="K14" s="266" t="s">
        <v>269</v>
      </c>
      <c r="L14" s="267">
        <f>себ.!I10</f>
        <v>1.89</v>
      </c>
    </row>
    <row r="15" spans="1:12" x14ac:dyDescent="0.25">
      <c r="A15" s="204" t="str">
        <f>себ.!C17</f>
        <v>с подстольным монтажом мойки</v>
      </c>
      <c r="B15" s="205" t="s">
        <v>8</v>
      </c>
      <c r="C15" s="205">
        <f>себ.!J17</f>
        <v>743.49442379182153</v>
      </c>
      <c r="D15" s="288">
        <f>себ.!I17</f>
        <v>1</v>
      </c>
      <c r="E15" s="289">
        <f t="shared" si="0"/>
        <v>743.49442379182153</v>
      </c>
      <c r="G15" s="414" t="s">
        <v>225</v>
      </c>
      <c r="H15" s="415"/>
      <c r="I15" s="416"/>
      <c r="K15" s="266" t="s">
        <v>285</v>
      </c>
      <c r="L15" s="1">
        <f>себ.!N16</f>
        <v>1</v>
      </c>
    </row>
    <row r="16" spans="1:12" ht="15" customHeight="1" x14ac:dyDescent="0.25">
      <c r="A16" s="204" t="s">
        <v>224</v>
      </c>
      <c r="B16" s="205" t="s">
        <v>8</v>
      </c>
      <c r="C16" s="205">
        <v>500</v>
      </c>
      <c r="D16" s="288">
        <f>себ.!I21</f>
        <v>0</v>
      </c>
      <c r="E16" s="289">
        <f t="shared" si="0"/>
        <v>0</v>
      </c>
      <c r="G16" s="414"/>
      <c r="H16" s="415"/>
      <c r="I16" s="416"/>
    </row>
    <row r="17" spans="1:12" x14ac:dyDescent="0.25">
      <c r="A17" s="204" t="s">
        <v>226</v>
      </c>
      <c r="B17" s="205" t="s">
        <v>25</v>
      </c>
      <c r="C17" s="269">
        <f>себ.!J19</f>
        <v>0</v>
      </c>
      <c r="D17" s="288">
        <f>себ.!I19</f>
        <v>4.7</v>
      </c>
      <c r="E17" s="289">
        <f t="shared" si="0"/>
        <v>0</v>
      </c>
      <c r="G17" s="414" t="s">
        <v>282</v>
      </c>
      <c r="H17" s="415"/>
      <c r="I17" s="416"/>
    </row>
    <row r="18" spans="1:12" ht="15" customHeight="1" x14ac:dyDescent="0.25">
      <c r="A18" s="208" t="s">
        <v>227</v>
      </c>
      <c r="B18" s="205" t="s">
        <v>25</v>
      </c>
      <c r="C18" s="205">
        <v>200</v>
      </c>
      <c r="D18" s="270"/>
      <c r="E18" s="289">
        <f t="shared" si="0"/>
        <v>0</v>
      </c>
      <c r="G18" s="414"/>
      <c r="H18" s="415"/>
      <c r="I18" s="416"/>
      <c r="K18" s="268" t="s">
        <v>125</v>
      </c>
      <c r="L18" s="268">
        <f>себ.!K35</f>
        <v>2500</v>
      </c>
    </row>
    <row r="19" spans="1:12" x14ac:dyDescent="0.25">
      <c r="A19" s="204" t="s">
        <v>228</v>
      </c>
      <c r="B19" s="205" t="s">
        <v>8</v>
      </c>
      <c r="C19" s="205">
        <v>400</v>
      </c>
      <c r="D19" s="270"/>
      <c r="E19" s="289">
        <f>C19*D19</f>
        <v>0</v>
      </c>
      <c r="G19" s="421" t="s">
        <v>231</v>
      </c>
      <c r="H19" s="422"/>
      <c r="I19" s="416"/>
      <c r="K19" s="268"/>
      <c r="L19" s="268">
        <f>Материал!M12</f>
        <v>70</v>
      </c>
    </row>
    <row r="20" spans="1:12" ht="15" customHeight="1" x14ac:dyDescent="0.25">
      <c r="A20" s="204" t="s">
        <v>229</v>
      </c>
      <c r="B20" s="205" t="s">
        <v>8</v>
      </c>
      <c r="C20" s="205">
        <v>500</v>
      </c>
      <c r="D20" s="270"/>
      <c r="E20" s="289">
        <f>C20*D20</f>
        <v>0</v>
      </c>
      <c r="G20" s="421"/>
      <c r="H20" s="422"/>
      <c r="I20" s="416"/>
    </row>
    <row r="21" spans="1:12" x14ac:dyDescent="0.25">
      <c r="A21" s="209" t="s">
        <v>230</v>
      </c>
      <c r="B21" s="205" t="s">
        <v>8</v>
      </c>
      <c r="C21" s="205">
        <v>50</v>
      </c>
      <c r="D21" s="270"/>
      <c r="E21" s="289">
        <f>C21*D21</f>
        <v>0</v>
      </c>
      <c r="G21" s="421" t="s">
        <v>283</v>
      </c>
      <c r="H21" s="422"/>
      <c r="I21" s="416"/>
      <c r="K21" s="277"/>
      <c r="L21" s="277"/>
    </row>
    <row r="22" spans="1:12" ht="15" customHeight="1" x14ac:dyDescent="0.25">
      <c r="A22" s="210" t="s">
        <v>51</v>
      </c>
      <c r="B22" s="211" t="s">
        <v>25</v>
      </c>
      <c r="C22" s="211">
        <v>500</v>
      </c>
      <c r="D22" s="270">
        <v>0</v>
      </c>
      <c r="E22" s="290">
        <f t="shared" si="0"/>
        <v>0</v>
      </c>
      <c r="G22" s="421"/>
      <c r="H22" s="422"/>
      <c r="I22" s="416"/>
      <c r="K22" s="277"/>
      <c r="L22" s="277"/>
    </row>
    <row r="23" spans="1:12" x14ac:dyDescent="0.25">
      <c r="A23" s="210" t="s">
        <v>232</v>
      </c>
      <c r="B23" s="211" t="s">
        <v>8</v>
      </c>
      <c r="C23" s="211">
        <v>50</v>
      </c>
      <c r="D23" s="270">
        <v>0</v>
      </c>
      <c r="E23" s="290">
        <f t="shared" si="0"/>
        <v>0</v>
      </c>
      <c r="G23" s="414" t="s">
        <v>236</v>
      </c>
      <c r="H23" s="415"/>
      <c r="I23" s="416"/>
      <c r="K23" s="277"/>
      <c r="L23" s="277"/>
    </row>
    <row r="24" spans="1:12" ht="15" customHeight="1" x14ac:dyDescent="0.25">
      <c r="A24" s="210" t="s">
        <v>284</v>
      </c>
      <c r="B24" s="211" t="s">
        <v>233</v>
      </c>
      <c r="C24" s="211">
        <v>50</v>
      </c>
      <c r="D24" s="270">
        <v>0</v>
      </c>
      <c r="E24" s="290">
        <f t="shared" si="0"/>
        <v>0</v>
      </c>
      <c r="G24" s="414"/>
      <c r="H24" s="415"/>
      <c r="I24" s="416"/>
    </row>
    <row r="25" spans="1:12" ht="15" customHeight="1" x14ac:dyDescent="0.25">
      <c r="A25" s="212" t="s">
        <v>234</v>
      </c>
      <c r="B25" s="213" t="s">
        <v>8</v>
      </c>
      <c r="C25" s="213">
        <v>5500</v>
      </c>
      <c r="D25" s="286">
        <v>0</v>
      </c>
      <c r="E25" s="291">
        <f t="shared" si="0"/>
        <v>0</v>
      </c>
      <c r="G25" s="427" t="s">
        <v>241</v>
      </c>
      <c r="H25" s="428"/>
      <c r="I25" s="416"/>
    </row>
    <row r="26" spans="1:12" ht="15.75" customHeight="1" x14ac:dyDescent="0.25">
      <c r="A26" s="215" t="s">
        <v>235</v>
      </c>
      <c r="B26" s="213" t="s">
        <v>8</v>
      </c>
      <c r="C26" s="213">
        <v>3500</v>
      </c>
      <c r="D26" s="286">
        <v>0</v>
      </c>
      <c r="E26" s="291">
        <f t="shared" si="0"/>
        <v>0</v>
      </c>
      <c r="G26" s="427"/>
      <c r="H26" s="428"/>
      <c r="I26" s="416"/>
    </row>
    <row r="27" spans="1:12" ht="15.75" thickBot="1" x14ac:dyDescent="0.3">
      <c r="A27" s="215" t="s">
        <v>237</v>
      </c>
      <c r="B27" s="213" t="s">
        <v>8</v>
      </c>
      <c r="C27" s="214">
        <v>500</v>
      </c>
      <c r="D27" s="286">
        <v>0</v>
      </c>
      <c r="E27" s="291">
        <f t="shared" si="0"/>
        <v>0</v>
      </c>
      <c r="G27" s="429"/>
      <c r="H27" s="430"/>
      <c r="I27" s="431"/>
    </row>
    <row r="28" spans="1:12" ht="15.75" thickBot="1" x14ac:dyDescent="0.3">
      <c r="A28" s="293" t="s">
        <v>281</v>
      </c>
      <c r="B28" s="432"/>
      <c r="C28" s="433"/>
      <c r="D28" s="434"/>
      <c r="E28" s="294"/>
      <c r="G28" s="279"/>
      <c r="H28" s="279"/>
      <c r="I28" s="280"/>
    </row>
    <row r="29" spans="1:12" ht="15.75" thickBot="1" x14ac:dyDescent="0.3">
      <c r="A29" s="437" t="s">
        <v>238</v>
      </c>
      <c r="B29" s="438"/>
      <c r="C29" s="438"/>
      <c r="D29" s="438"/>
      <c r="E29" s="292">
        <f>SUM(E11:E28)</f>
        <v>5789.974832713754</v>
      </c>
      <c r="G29" s="281"/>
      <c r="H29" s="281"/>
      <c r="I29" s="278"/>
    </row>
    <row r="30" spans="1:12" s="218" customFormat="1" x14ac:dyDescent="0.25">
      <c r="A30" s="216" t="s">
        <v>239</v>
      </c>
      <c r="B30" s="216"/>
      <c r="C30" s="216"/>
      <c r="D30" s="216"/>
      <c r="E30" s="217"/>
      <c r="G30" s="281"/>
      <c r="H30" s="281"/>
      <c r="I30" s="278"/>
    </row>
    <row r="31" spans="1:12" s="218" customFormat="1" x14ac:dyDescent="0.25">
      <c r="A31" s="219" t="s">
        <v>207</v>
      </c>
      <c r="B31" s="424"/>
      <c r="C31" s="425"/>
      <c r="D31" s="425"/>
      <c r="E31" s="426"/>
      <c r="G31" s="281"/>
      <c r="H31" s="281"/>
      <c r="I31" s="278"/>
    </row>
    <row r="32" spans="1:12" s="218" customFormat="1" ht="27" customHeight="1" x14ac:dyDescent="0.25">
      <c r="A32" s="439" t="s">
        <v>240</v>
      </c>
      <c r="B32" s="439"/>
      <c r="C32" s="439"/>
      <c r="D32" s="439"/>
      <c r="E32" s="439"/>
      <c r="G32" s="440"/>
      <c r="H32" s="440"/>
      <c r="I32" s="423"/>
    </row>
    <row r="33" spans="1:12" s="218" customFormat="1" x14ac:dyDescent="0.25">
      <c r="A33" s="219" t="s">
        <v>242</v>
      </c>
      <c r="B33" s="424"/>
      <c r="C33" s="425"/>
      <c r="D33" s="425"/>
      <c r="E33" s="426"/>
      <c r="G33" s="440"/>
      <c r="H33" s="440"/>
      <c r="I33" s="423"/>
    </row>
    <row r="34" spans="1:12" s="218" customFormat="1" x14ac:dyDescent="0.25">
      <c r="A34" s="219" t="s">
        <v>242</v>
      </c>
      <c r="B34" s="424"/>
      <c r="C34" s="425"/>
      <c r="D34" s="425"/>
      <c r="E34" s="426"/>
      <c r="G34" s="282"/>
      <c r="H34" s="282"/>
      <c r="I34" s="282"/>
    </row>
    <row r="35" spans="1:12" ht="15.75" thickBot="1" x14ac:dyDescent="0.3">
      <c r="A35" s="199"/>
      <c r="B35" s="199"/>
      <c r="C35" s="199"/>
      <c r="D35" s="199"/>
      <c r="E35" s="199"/>
    </row>
    <row r="36" spans="1:12" x14ac:dyDescent="0.25">
      <c r="A36" s="435" t="s">
        <v>243</v>
      </c>
      <c r="B36" s="436"/>
      <c r="C36" s="220">
        <v>1000</v>
      </c>
      <c r="D36" s="285">
        <f>L14</f>
        <v>1.89</v>
      </c>
      <c r="E36" s="221">
        <f>D36*C36</f>
        <v>1890</v>
      </c>
      <c r="G36" s="222"/>
      <c r="H36" s="222"/>
      <c r="I36" s="222"/>
    </row>
    <row r="37" spans="1:12" x14ac:dyDescent="0.25">
      <c r="A37" s="445" t="s">
        <v>244</v>
      </c>
      <c r="B37" s="446"/>
      <c r="C37" s="205">
        <v>500</v>
      </c>
      <c r="D37" s="205">
        <f>D12</f>
        <v>0</v>
      </c>
      <c r="E37" s="207">
        <f t="shared" ref="E37:E45" si="1">C37*D37</f>
        <v>0</v>
      </c>
      <c r="H37" s="52" t="s">
        <v>245</v>
      </c>
    </row>
    <row r="38" spans="1:12" x14ac:dyDescent="0.25">
      <c r="A38" s="447" t="s">
        <v>122</v>
      </c>
      <c r="B38" s="448"/>
      <c r="C38" s="206">
        <v>1100</v>
      </c>
      <c r="D38" s="270"/>
      <c r="E38" s="207">
        <f>C38*D38</f>
        <v>0</v>
      </c>
    </row>
    <row r="39" spans="1:12" x14ac:dyDescent="0.25">
      <c r="A39" s="447" t="s">
        <v>246</v>
      </c>
      <c r="B39" s="448"/>
      <c r="C39" s="205">
        <v>100</v>
      </c>
      <c r="D39" s="270"/>
      <c r="E39" s="207">
        <f>C39*D39</f>
        <v>0</v>
      </c>
      <c r="G39" s="52" t="s">
        <v>247</v>
      </c>
    </row>
    <row r="40" spans="1:12" x14ac:dyDescent="0.25">
      <c r="A40" s="447" t="s">
        <v>248</v>
      </c>
      <c r="B40" s="448"/>
      <c r="C40" s="206">
        <v>1000</v>
      </c>
      <c r="D40" s="270"/>
      <c r="E40" s="207">
        <f t="shared" si="1"/>
        <v>0</v>
      </c>
    </row>
    <row r="41" spans="1:12" x14ac:dyDescent="0.25">
      <c r="A41" s="208" t="s">
        <v>227</v>
      </c>
      <c r="B41" s="223"/>
      <c r="C41" s="205">
        <v>200</v>
      </c>
      <c r="D41" s="270"/>
      <c r="E41" s="207">
        <f t="shared" si="1"/>
        <v>0</v>
      </c>
      <c r="L41" s="52" t="s">
        <v>247</v>
      </c>
    </row>
    <row r="42" spans="1:12" x14ac:dyDescent="0.25">
      <c r="A42" s="447" t="s">
        <v>249</v>
      </c>
      <c r="B42" s="448"/>
      <c r="C42" s="270"/>
      <c r="D42" s="270"/>
      <c r="E42" s="207">
        <v>0</v>
      </c>
    </row>
    <row r="43" spans="1:12" x14ac:dyDescent="0.25">
      <c r="A43" s="449" t="s">
        <v>250</v>
      </c>
      <c r="B43" s="450"/>
      <c r="C43" s="286"/>
      <c r="D43" s="286"/>
      <c r="E43" s="224">
        <v>0</v>
      </c>
    </row>
    <row r="44" spans="1:12" x14ac:dyDescent="0.25">
      <c r="A44" s="204" t="s">
        <v>5</v>
      </c>
      <c r="B44" s="205" t="s">
        <v>8</v>
      </c>
      <c r="C44" s="205">
        <v>500</v>
      </c>
      <c r="D44" s="270"/>
      <c r="E44" s="207">
        <f t="shared" si="1"/>
        <v>0</v>
      </c>
    </row>
    <row r="45" spans="1:12" x14ac:dyDescent="0.25">
      <c r="A45" s="204" t="s">
        <v>223</v>
      </c>
      <c r="B45" s="205" t="s">
        <v>8</v>
      </c>
      <c r="C45" s="205">
        <v>500</v>
      </c>
      <c r="D45" s="270"/>
      <c r="E45" s="207">
        <f t="shared" si="1"/>
        <v>0</v>
      </c>
    </row>
    <row r="46" spans="1:12" ht="15.75" thickBot="1" x14ac:dyDescent="0.3">
      <c r="A46" s="225" t="s">
        <v>251</v>
      </c>
      <c r="B46" s="205" t="s">
        <v>8</v>
      </c>
      <c r="C46" s="205">
        <v>50</v>
      </c>
      <c r="D46" s="270"/>
      <c r="E46" s="207">
        <f>C46*D46</f>
        <v>0</v>
      </c>
    </row>
    <row r="47" spans="1:12" ht="15.75" thickBot="1" x14ac:dyDescent="0.3">
      <c r="A47" s="441" t="s">
        <v>252</v>
      </c>
      <c r="B47" s="442"/>
      <c r="C47" s="442"/>
      <c r="D47" s="443"/>
      <c r="E47" s="292">
        <f>SUM(E36:E46)</f>
        <v>1890</v>
      </c>
    </row>
    <row r="48" spans="1:12" ht="15.75" thickBot="1" x14ac:dyDescent="0.3">
      <c r="A48" s="199"/>
      <c r="B48" s="199"/>
      <c r="C48" s="199"/>
      <c r="D48" s="199"/>
      <c r="E48" s="199"/>
      <c r="G48" s="7"/>
      <c r="J48" s="7"/>
      <c r="K48" s="7"/>
      <c r="L48" s="7"/>
    </row>
    <row r="49" spans="1:12" ht="15.75" thickBot="1" x14ac:dyDescent="0.3">
      <c r="A49" s="441" t="s">
        <v>253</v>
      </c>
      <c r="B49" s="442"/>
      <c r="C49" s="442"/>
      <c r="D49" s="443"/>
      <c r="E49" s="292">
        <f>E29+E47</f>
        <v>7679.974832713754</v>
      </c>
      <c r="G49" s="7"/>
      <c r="J49" s="258"/>
      <c r="K49" s="259"/>
      <c r="L49" s="7"/>
    </row>
    <row r="50" spans="1:12" ht="15.75" thickBot="1" x14ac:dyDescent="0.3">
      <c r="G50" s="7"/>
      <c r="J50" s="258"/>
      <c r="K50" s="260"/>
      <c r="L50" s="7"/>
    </row>
    <row r="51" spans="1:12" ht="15.75" thickBot="1" x14ac:dyDescent="0.3">
      <c r="A51" s="226" t="s">
        <v>254</v>
      </c>
      <c r="B51" s="227"/>
      <c r="C51" s="228"/>
      <c r="D51" s="228"/>
      <c r="E51" s="229"/>
      <c r="G51" s="7"/>
      <c r="J51" s="258"/>
      <c r="K51" s="261"/>
      <c r="L51" s="7"/>
    </row>
    <row r="52" spans="1:12" x14ac:dyDescent="0.25">
      <c r="A52" s="230"/>
      <c r="B52" s="7"/>
      <c r="C52" s="7"/>
      <c r="D52" s="7"/>
      <c r="E52" s="231"/>
      <c r="G52" s="7"/>
      <c r="J52" s="258"/>
      <c r="K52" s="262"/>
      <c r="L52" s="7"/>
    </row>
    <row r="53" spans="1:12" ht="15.75" thickBot="1" x14ac:dyDescent="0.3">
      <c r="A53" s="232"/>
      <c r="B53" s="233"/>
      <c r="C53" s="233"/>
      <c r="D53" s="233"/>
      <c r="E53" s="234"/>
      <c r="G53" s="7"/>
      <c r="J53" s="258"/>
      <c r="K53" s="263"/>
      <c r="L53" s="7"/>
    </row>
    <row r="54" spans="1:12" x14ac:dyDescent="0.25">
      <c r="G54" s="7"/>
      <c r="J54" s="258"/>
      <c r="K54" s="264"/>
      <c r="L54" s="7"/>
    </row>
    <row r="55" spans="1:12" x14ac:dyDescent="0.25">
      <c r="A55" s="13" t="s">
        <v>255</v>
      </c>
      <c r="B55" s="444"/>
      <c r="C55" s="444"/>
      <c r="D55" s="444"/>
      <c r="E55" s="444"/>
      <c r="G55" s="7"/>
      <c r="H55" s="7"/>
      <c r="I55" s="7"/>
      <c r="J55" s="7"/>
      <c r="K55" s="7"/>
      <c r="L55" s="7"/>
    </row>
    <row r="57" spans="1:12" x14ac:dyDescent="0.25">
      <c r="A57" s="13" t="s">
        <v>256</v>
      </c>
      <c r="B57" s="444"/>
      <c r="C57" s="444"/>
      <c r="D57" s="444"/>
      <c r="E57" s="444"/>
    </row>
  </sheetData>
  <mergeCells count="44">
    <mergeCell ref="A47:D47"/>
    <mergeCell ref="A49:D49"/>
    <mergeCell ref="B55:E55"/>
    <mergeCell ref="B57:E57"/>
    <mergeCell ref="A37:B37"/>
    <mergeCell ref="A38:B38"/>
    <mergeCell ref="A39:B39"/>
    <mergeCell ref="A40:B40"/>
    <mergeCell ref="A42:B42"/>
    <mergeCell ref="A43:B43"/>
    <mergeCell ref="A36:B36"/>
    <mergeCell ref="A29:D29"/>
    <mergeCell ref="B31:E31"/>
    <mergeCell ref="A32:E32"/>
    <mergeCell ref="G32:H33"/>
    <mergeCell ref="I32:I33"/>
    <mergeCell ref="B33:E33"/>
    <mergeCell ref="B34:E34"/>
    <mergeCell ref="G25:H27"/>
    <mergeCell ref="I25:I27"/>
    <mergeCell ref="B28:D28"/>
    <mergeCell ref="G19:H20"/>
    <mergeCell ref="G21:H22"/>
    <mergeCell ref="I19:I20"/>
    <mergeCell ref="G23:H24"/>
    <mergeCell ref="I21:I22"/>
    <mergeCell ref="I23:I24"/>
    <mergeCell ref="G15:H16"/>
    <mergeCell ref="I15:I16"/>
    <mergeCell ref="G17:H18"/>
    <mergeCell ref="I17:I18"/>
    <mergeCell ref="B8:E8"/>
    <mergeCell ref="G10:H10"/>
    <mergeCell ref="G11:H12"/>
    <mergeCell ref="I11:I12"/>
    <mergeCell ref="G13:H14"/>
    <mergeCell ref="I13:I14"/>
    <mergeCell ref="G6:I7"/>
    <mergeCell ref="B7:E7"/>
    <mergeCell ref="A1:E1"/>
    <mergeCell ref="A2:E2"/>
    <mergeCell ref="B4:E4"/>
    <mergeCell ref="B5:C5"/>
    <mergeCell ref="B6:E6"/>
  </mergeCells>
  <pageMargins left="0.70866141732283472" right="0.70866141732283472" top="0.74803149606299213" bottom="0.74803149606299213" header="0.31496062992125984" footer="0.31496062992125984"/>
  <pageSetup paperSize="9" scale="66" orientation="portrait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1"/>
  <sheetViews>
    <sheetView tabSelected="1" workbookViewId="0">
      <selection activeCell="C3" sqref="C3"/>
    </sheetView>
  </sheetViews>
  <sheetFormatPr defaultColWidth="8.85546875" defaultRowHeight="15" x14ac:dyDescent="0.25"/>
  <cols>
    <col min="2" max="2" width="32.28515625" customWidth="1"/>
    <col min="3" max="3" width="16.42578125" customWidth="1"/>
    <col min="4" max="4" width="12.42578125" customWidth="1"/>
    <col min="6" max="6" width="13.7109375" customWidth="1"/>
  </cols>
  <sheetData>
    <row r="2" spans="2:6" x14ac:dyDescent="0.25">
      <c r="B2" s="10" t="s">
        <v>290</v>
      </c>
      <c r="C2" s="296">
        <v>0</v>
      </c>
      <c r="D2" s="181" t="s">
        <v>130</v>
      </c>
      <c r="E2" s="17"/>
      <c r="F2" s="17"/>
    </row>
    <row r="3" spans="2:6" x14ac:dyDescent="0.25">
      <c r="B3" s="182" t="s">
        <v>191</v>
      </c>
      <c r="C3" s="295">
        <v>0</v>
      </c>
      <c r="D3" s="181" t="s">
        <v>130</v>
      </c>
    </row>
    <row r="4" spans="2:6" s="52" customFormat="1" x14ac:dyDescent="0.25">
      <c r="B4" s="182" t="s">
        <v>289</v>
      </c>
      <c r="C4" s="183">
        <f>'Калькулятор себестоимость'!K33-sys!C8</f>
        <v>32843.520401488924</v>
      </c>
      <c r="D4" s="181"/>
    </row>
    <row r="5" spans="2:6" x14ac:dyDescent="0.25">
      <c r="B5" s="182" t="s">
        <v>288</v>
      </c>
      <c r="C5" s="184">
        <f>sys!C8+sys!C9</f>
        <v>3682.0000446077279</v>
      </c>
      <c r="D5" s="181"/>
    </row>
    <row r="6" spans="2:6" x14ac:dyDescent="0.25">
      <c r="B6" s="298" t="s">
        <v>292</v>
      </c>
      <c r="C6" s="300">
        <f>Калькулятор!P33</f>
        <v>16869.989356900995</v>
      </c>
      <c r="D6" s="180"/>
    </row>
    <row r="7" spans="2:6" x14ac:dyDescent="0.25">
      <c r="B7" s="299" t="s">
        <v>293</v>
      </c>
      <c r="C7" s="301">
        <f>C6-C5</f>
        <v>13187.989312293266</v>
      </c>
      <c r="D7" s="52"/>
    </row>
    <row r="8" spans="2:6" x14ac:dyDescent="0.25">
      <c r="B8" s="52"/>
      <c r="C8" s="175"/>
      <c r="D8" s="52"/>
    </row>
    <row r="9" spans="2:6" x14ac:dyDescent="0.25">
      <c r="B9" s="44"/>
      <c r="C9" s="61"/>
      <c r="D9" s="52"/>
    </row>
    <row r="10" spans="2:6" x14ac:dyDescent="0.25">
      <c r="B10" s="52"/>
      <c r="C10" s="52"/>
      <c r="D10" s="52"/>
    </row>
    <row r="11" spans="2:6" x14ac:dyDescent="0.25">
      <c r="B11" s="52"/>
      <c r="C11" s="176"/>
      <c r="D11" s="52"/>
    </row>
  </sheetData>
  <sheetProtection password="C643" sheet="1" objects="1" scenarios="1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U43"/>
  <sheetViews>
    <sheetView showGridLines="0" topLeftCell="A17" workbookViewId="0">
      <selection activeCell="J21" sqref="J21"/>
    </sheetView>
  </sheetViews>
  <sheetFormatPr defaultColWidth="8.85546875" defaultRowHeight="15" x14ac:dyDescent="0.25"/>
  <cols>
    <col min="1" max="1" width="4.7109375" style="52" customWidth="1"/>
    <col min="2" max="2" width="16.7109375" style="52" customWidth="1"/>
    <col min="3" max="3" width="7" style="52" customWidth="1"/>
    <col min="4" max="4" width="6.42578125" style="52" customWidth="1"/>
    <col min="5" max="5" width="8" style="52" customWidth="1"/>
    <col min="6" max="6" width="1.42578125" style="52" customWidth="1"/>
    <col min="7" max="7" width="12" style="52" customWidth="1"/>
    <col min="8" max="8" width="8.42578125" style="52" customWidth="1"/>
    <col min="9" max="9" width="8.28515625" style="52" customWidth="1"/>
    <col min="10" max="10" width="12.7109375" style="52" customWidth="1"/>
    <col min="11" max="11" width="13.28515625" style="52" customWidth="1"/>
    <col min="12" max="12" width="10.7109375" style="52" bestFit="1" customWidth="1"/>
    <col min="13" max="13" width="8.85546875" style="52"/>
    <col min="14" max="14" width="11.85546875" style="52" customWidth="1"/>
    <col min="15" max="15" width="8.85546875" style="52"/>
    <col min="16" max="16" width="15.85546875" style="52" customWidth="1"/>
    <col min="17" max="16384" width="8.85546875" style="52"/>
  </cols>
  <sheetData>
    <row r="1" spans="1:21" ht="30.75" customHeight="1" x14ac:dyDescent="0.25">
      <c r="A1" s="16"/>
      <c r="B1" s="372" t="s">
        <v>71</v>
      </c>
      <c r="C1" s="372"/>
      <c r="D1" s="372"/>
      <c r="E1" s="372"/>
      <c r="F1" s="372"/>
      <c r="G1" s="372"/>
      <c r="H1" s="372"/>
      <c r="I1" s="372"/>
      <c r="J1" s="372"/>
      <c r="K1" s="372"/>
    </row>
    <row r="2" spans="1:21" ht="6" customHeight="1" x14ac:dyDescent="0.25">
      <c r="A2" s="373"/>
      <c r="B2" s="373"/>
      <c r="C2" s="373"/>
      <c r="D2" s="373"/>
      <c r="E2" s="373"/>
      <c r="F2" s="373"/>
      <c r="G2" s="373"/>
      <c r="H2" s="373"/>
      <c r="I2" s="373"/>
      <c r="J2" s="373"/>
      <c r="K2" s="373"/>
      <c r="L2" s="4"/>
      <c r="M2" s="4"/>
      <c r="N2" s="4"/>
      <c r="O2" s="4"/>
    </row>
    <row r="3" spans="1:21" ht="15.75" customHeight="1" x14ac:dyDescent="0.25">
      <c r="B3" s="15"/>
      <c r="C3" s="15"/>
      <c r="D3" s="15"/>
      <c r="E3" s="15"/>
      <c r="F3" s="15"/>
      <c r="G3" s="374"/>
      <c r="H3" s="374"/>
      <c r="I3" s="374"/>
      <c r="J3" s="374"/>
      <c r="K3" s="374"/>
      <c r="L3" s="4"/>
      <c r="M3" s="4"/>
      <c r="N3" s="4"/>
      <c r="O3" s="4"/>
    </row>
    <row r="4" spans="1:21" ht="15.75" customHeight="1" x14ac:dyDescent="0.25">
      <c r="B4" s="15"/>
      <c r="C4" s="15"/>
      <c r="D4" s="15"/>
      <c r="E4" s="15"/>
      <c r="F4" s="15"/>
      <c r="G4" s="374"/>
      <c r="H4" s="374"/>
      <c r="I4" s="374"/>
      <c r="J4" s="374"/>
      <c r="K4" s="374"/>
      <c r="L4" s="4"/>
      <c r="M4" s="4"/>
      <c r="N4" s="4"/>
      <c r="O4" s="4"/>
    </row>
    <row r="5" spans="1:21" ht="15.75" x14ac:dyDescent="0.25">
      <c r="B5" s="15"/>
      <c r="C5" s="15"/>
      <c r="D5" s="15"/>
      <c r="E5" s="15"/>
      <c r="F5" s="15"/>
      <c r="G5" s="374"/>
      <c r="H5" s="374"/>
      <c r="I5" s="374"/>
      <c r="J5" s="374"/>
      <c r="K5" s="374"/>
      <c r="L5" s="4"/>
      <c r="M5" s="4"/>
      <c r="N5" s="4"/>
      <c r="O5" s="4"/>
    </row>
    <row r="6" spans="1:21" ht="12.75" customHeight="1" x14ac:dyDescent="0.25">
      <c r="B6" s="5"/>
      <c r="C6" s="5"/>
      <c r="D6" s="5"/>
      <c r="E6" s="5"/>
      <c r="F6" s="5"/>
      <c r="G6" s="18"/>
      <c r="H6" s="5"/>
      <c r="I6" s="5"/>
      <c r="J6" s="5"/>
      <c r="K6" s="4"/>
      <c r="L6" s="4"/>
      <c r="M6" s="4"/>
      <c r="N6" s="4"/>
      <c r="O6" s="4"/>
    </row>
    <row r="7" spans="1:21" ht="15.75" x14ac:dyDescent="0.25">
      <c r="B7" s="62" t="s">
        <v>22</v>
      </c>
      <c r="C7" s="375" t="str">
        <f>Калькулятор!C7</f>
        <v>Grandex A</v>
      </c>
      <c r="D7" s="376"/>
      <c r="E7" s="376"/>
      <c r="F7" s="376"/>
      <c r="G7" s="377"/>
      <c r="H7" s="62"/>
      <c r="I7" s="63"/>
      <c r="J7" s="63"/>
      <c r="K7" s="64"/>
      <c r="L7" s="64"/>
      <c r="M7" s="4"/>
      <c r="N7" s="4"/>
      <c r="O7" s="4"/>
    </row>
    <row r="8" spans="1:21" x14ac:dyDescent="0.25"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P8" s="14"/>
    </row>
    <row r="9" spans="1:21" ht="15.75" x14ac:dyDescent="0.25">
      <c r="B9" s="378" t="s">
        <v>1</v>
      </c>
      <c r="C9" s="379"/>
      <c r="D9" s="379"/>
      <c r="E9" s="379"/>
      <c r="F9" s="379"/>
      <c r="G9" s="380"/>
      <c r="H9" s="65" t="s">
        <v>2</v>
      </c>
      <c r="I9" s="66" t="s">
        <v>3</v>
      </c>
      <c r="J9" s="41"/>
      <c r="K9" s="17"/>
      <c r="L9" s="17"/>
      <c r="P9" s="11"/>
    </row>
    <row r="10" spans="1:21" ht="17.25" x14ac:dyDescent="0.25">
      <c r="A10" s="12"/>
      <c r="B10" s="381" t="s">
        <v>41</v>
      </c>
      <c r="C10" s="382"/>
      <c r="D10" s="382"/>
      <c r="E10" s="382"/>
      <c r="F10" s="382"/>
      <c r="G10" s="383"/>
      <c r="H10" s="8" t="s">
        <v>9</v>
      </c>
      <c r="I10" s="40">
        <f>Калькулятор!I10</f>
        <v>1.89</v>
      </c>
      <c r="J10" s="83">
        <f>IF(I10=0,0.0000000001,IF(I10&lt;=1.2,1.2,IF(I10&lt;=1.8,1.8,I10)))</f>
        <v>1.89</v>
      </c>
      <c r="K10" s="17"/>
      <c r="L10" s="17"/>
      <c r="U10" s="26"/>
    </row>
    <row r="11" spans="1:21" ht="17.25" x14ac:dyDescent="0.25">
      <c r="A11" s="12"/>
      <c r="B11" s="381" t="s">
        <v>4</v>
      </c>
      <c r="C11" s="382"/>
      <c r="D11" s="382"/>
      <c r="E11" s="382"/>
      <c r="F11" s="382"/>
      <c r="G11" s="383"/>
      <c r="H11" s="8" t="s">
        <v>9</v>
      </c>
      <c r="I11" s="40">
        <f>Калькулятор!I11</f>
        <v>0</v>
      </c>
      <c r="J11" s="83">
        <f>IF(I11=0,0.000000000001,I11)</f>
        <v>9.9999999999999998E-13</v>
      </c>
      <c r="K11" s="17"/>
      <c r="L11" s="17"/>
    </row>
    <row r="12" spans="1:21" ht="15.75" thickBot="1" x14ac:dyDescent="0.3"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P12" s="11"/>
    </row>
    <row r="13" spans="1:21" ht="15.75" x14ac:dyDescent="0.25">
      <c r="A13" s="90" t="s">
        <v>0</v>
      </c>
      <c r="B13" s="384" t="s">
        <v>1</v>
      </c>
      <c r="C13" s="385"/>
      <c r="D13" s="385"/>
      <c r="E13" s="385"/>
      <c r="F13" s="385"/>
      <c r="G13" s="386"/>
      <c r="H13" s="108" t="s">
        <v>2</v>
      </c>
      <c r="I13" s="108" t="s">
        <v>3</v>
      </c>
      <c r="J13" s="108" t="s">
        <v>24</v>
      </c>
      <c r="K13" s="109" t="s">
        <v>81</v>
      </c>
      <c r="L13" s="17"/>
    </row>
    <row r="14" spans="1:21" x14ac:dyDescent="0.25">
      <c r="A14" s="91">
        <v>1</v>
      </c>
      <c r="B14" s="366" t="s">
        <v>80</v>
      </c>
      <c r="C14" s="367"/>
      <c r="D14" s="367"/>
      <c r="E14" s="367"/>
      <c r="F14" s="367"/>
      <c r="G14" s="367"/>
      <c r="H14" s="367"/>
      <c r="I14" s="367"/>
      <c r="J14" s="368"/>
      <c r="K14" s="92">
        <f>CEILING((J10*(VLOOKUP($C$7,Материал!A3:J68,7,FALSE)))/J10^0.05+(J11*(VLOOKUP($C$7,Материал!A3:J68,8,FALSE)))/J11^0.05,10)+5000+setup!C2</f>
        <v>26430</v>
      </c>
      <c r="L14" s="17"/>
    </row>
    <row r="15" spans="1:21" x14ac:dyDescent="0.25">
      <c r="A15" s="91">
        <v>2</v>
      </c>
      <c r="B15" s="358" t="s">
        <v>5</v>
      </c>
      <c r="C15" s="358"/>
      <c r="D15" s="358"/>
      <c r="E15" s="358"/>
      <c r="F15" s="358"/>
      <c r="G15" s="358"/>
      <c r="H15" s="28" t="s">
        <v>8</v>
      </c>
      <c r="I15" s="40">
        <f>Калькулятор!I15</f>
        <v>1</v>
      </c>
      <c r="J15" s="57">
        <f>цены!E17</f>
        <v>743.49442379182153</v>
      </c>
      <c r="K15" s="92">
        <f t="shared" ref="K15:K30" si="0">I15*J15</f>
        <v>743.49442379182153</v>
      </c>
      <c r="L15" s="17"/>
    </row>
    <row r="16" spans="1:21" x14ac:dyDescent="0.25">
      <c r="A16" s="91">
        <v>3</v>
      </c>
      <c r="B16" s="27" t="s">
        <v>45</v>
      </c>
      <c r="C16" s="366" t="str">
        <f>Калькулятор!C16</f>
        <v>с подстольным монтажом мойки</v>
      </c>
      <c r="D16" s="367"/>
      <c r="E16" s="367"/>
      <c r="F16" s="367"/>
      <c r="G16" s="368"/>
      <c r="H16" s="28" t="s">
        <v>8</v>
      </c>
      <c r="I16" s="40">
        <f>Калькулятор!I16</f>
        <v>1</v>
      </c>
      <c r="J16" s="57">
        <f>VLOOKUP(C16,цены!C18:G22,3,FALSE)</f>
        <v>2081.7843866171006</v>
      </c>
      <c r="K16" s="92">
        <f t="shared" si="0"/>
        <v>2081.7843866171006</v>
      </c>
      <c r="L16" s="17"/>
      <c r="M16" s="19"/>
    </row>
    <row r="17" spans="1:12" x14ac:dyDescent="0.25">
      <c r="A17" s="91">
        <v>4</v>
      </c>
      <c r="B17" s="10" t="s">
        <v>46</v>
      </c>
      <c r="C17" s="366" t="str">
        <f>Калькулятор!C17</f>
        <v>Накладной</v>
      </c>
      <c r="D17" s="367"/>
      <c r="E17" s="367"/>
      <c r="F17" s="367"/>
      <c r="G17" s="368"/>
      <c r="H17" s="12" t="s">
        <v>25</v>
      </c>
      <c r="I17" s="40">
        <f>Калькулятор!I17</f>
        <v>5.91</v>
      </c>
      <c r="J17" s="58">
        <f>VLOOKUP(C17,цены!C23:G24,3,FALSE)</f>
        <v>594.79553903345732</v>
      </c>
      <c r="K17" s="92">
        <f t="shared" si="0"/>
        <v>3515.2416356877329</v>
      </c>
      <c r="L17" s="17"/>
    </row>
    <row r="18" spans="1:12" x14ac:dyDescent="0.25">
      <c r="A18" s="91">
        <v>5</v>
      </c>
      <c r="B18" s="10" t="s">
        <v>42</v>
      </c>
      <c r="C18" s="366" t="str">
        <f>Калькулятор!C18</f>
        <v>Стандартная</v>
      </c>
      <c r="D18" s="367"/>
      <c r="E18" s="368"/>
      <c r="F18" s="68"/>
      <c r="G18" s="69">
        <f>Калькулятор!G18</f>
        <v>40</v>
      </c>
      <c r="H18" s="12" t="s">
        <v>25</v>
      </c>
      <c r="I18" s="40">
        <f>Калькулятор!I18</f>
        <v>4.7</v>
      </c>
      <c r="J18" s="58">
        <f>CEILING((G18/1000)*VLOOKUP(C7,Материал!A3:J68,7,FALSE),10)+VLOOKUP('Калькулятор себестоимость'!C18,цены!C25:G27,3,FALSE)</f>
        <v>470</v>
      </c>
      <c r="K18" s="92">
        <f t="shared" si="0"/>
        <v>2209</v>
      </c>
      <c r="L18" s="17"/>
    </row>
    <row r="19" spans="1:12" x14ac:dyDescent="0.25">
      <c r="A19" s="91">
        <v>6</v>
      </c>
      <c r="B19" s="366" t="s">
        <v>44</v>
      </c>
      <c r="C19" s="367"/>
      <c r="D19" s="367"/>
      <c r="E19" s="368"/>
      <c r="F19" s="25"/>
      <c r="G19" s="110">
        <f>Калькулятор!G19</f>
        <v>40</v>
      </c>
      <c r="H19" s="12" t="s">
        <v>25</v>
      </c>
      <c r="I19" s="40">
        <f>Калькулятор!I19</f>
        <v>0</v>
      </c>
      <c r="J19" s="58">
        <f>CEILING((G19/1000)*VLOOKUP(C7,Материал!A3:J68,7,FALSE),10)</f>
        <v>470</v>
      </c>
      <c r="K19" s="92">
        <f t="shared" si="0"/>
        <v>0</v>
      </c>
      <c r="L19" s="17"/>
    </row>
    <row r="20" spans="1:12" x14ac:dyDescent="0.25">
      <c r="A20" s="91">
        <v>7</v>
      </c>
      <c r="B20" s="358" t="s">
        <v>75</v>
      </c>
      <c r="C20" s="358"/>
      <c r="D20" s="358"/>
      <c r="E20" s="358"/>
      <c r="F20" s="358"/>
      <c r="G20" s="358"/>
      <c r="H20" s="8" t="s">
        <v>8</v>
      </c>
      <c r="I20" s="40">
        <f>Калькулятор!I20</f>
        <v>0</v>
      </c>
      <c r="J20" s="58">
        <f>цены!E29</f>
        <v>4035</v>
      </c>
      <c r="K20" s="92">
        <f t="shared" si="0"/>
        <v>0</v>
      </c>
      <c r="L20" s="17"/>
    </row>
    <row r="21" spans="1:12" x14ac:dyDescent="0.25">
      <c r="A21" s="91">
        <v>8</v>
      </c>
      <c r="B21" s="358" t="s">
        <v>260</v>
      </c>
      <c r="C21" s="358"/>
      <c r="D21" s="358"/>
      <c r="E21" s="358"/>
      <c r="F21" s="358"/>
      <c r="G21" s="358"/>
      <c r="H21" s="8" t="s">
        <v>8</v>
      </c>
      <c r="I21" s="40">
        <f>Калькулятор!I21</f>
        <v>1</v>
      </c>
      <c r="J21" s="58">
        <f>J10*цены!E30+'Калькулятор себестоимость'!J11*цены!E31</f>
        <v>4067.2800000021516</v>
      </c>
      <c r="K21" s="92">
        <f t="shared" si="0"/>
        <v>4067.2800000021516</v>
      </c>
      <c r="L21" s="17"/>
    </row>
    <row r="22" spans="1:12" ht="15.75" thickBot="1" x14ac:dyDescent="0.3">
      <c r="A22" s="94">
        <v>9</v>
      </c>
      <c r="B22" s="359" t="s">
        <v>121</v>
      </c>
      <c r="C22" s="359"/>
      <c r="D22" s="359"/>
      <c r="E22" s="359"/>
      <c r="F22" s="359"/>
      <c r="G22" s="359"/>
      <c r="H22" s="98" t="s">
        <v>8</v>
      </c>
      <c r="I22" s="111">
        <f>Калькулятор!I22</f>
        <v>1</v>
      </c>
      <c r="J22" s="112">
        <f>Калькулятор!J22</f>
        <v>2500</v>
      </c>
      <c r="K22" s="99">
        <f t="shared" si="0"/>
        <v>2500</v>
      </c>
      <c r="L22" s="17"/>
    </row>
    <row r="23" spans="1:12" x14ac:dyDescent="0.25">
      <c r="A23" s="96">
        <v>10</v>
      </c>
      <c r="B23" s="369" t="s">
        <v>43</v>
      </c>
      <c r="C23" s="370"/>
      <c r="D23" s="369" t="str">
        <f>Калькулятор!D23</f>
        <v>Отсутствует</v>
      </c>
      <c r="E23" s="370"/>
      <c r="F23" s="370"/>
      <c r="G23" s="371"/>
      <c r="H23" s="113" t="s">
        <v>8</v>
      </c>
      <c r="I23" s="114">
        <f>Калькулятор!I23</f>
        <v>0</v>
      </c>
      <c r="J23" s="115">
        <f>INDEX('мойки для партнеров'!A1:P67,MATCH(C7,'мойки для партнеров'!A1:A67,0),MATCH(D23,'мойки для партнеров'!A1:P1,0))</f>
        <v>0</v>
      </c>
      <c r="K23" s="116">
        <f t="shared" si="0"/>
        <v>0</v>
      </c>
      <c r="L23" s="17"/>
    </row>
    <row r="24" spans="1:12" x14ac:dyDescent="0.25">
      <c r="A24" s="91">
        <v>11</v>
      </c>
      <c r="B24" s="358" t="s">
        <v>77</v>
      </c>
      <c r="C24" s="358"/>
      <c r="D24" s="358"/>
      <c r="E24" s="358"/>
      <c r="F24" s="358"/>
      <c r="G24" s="358"/>
      <c r="H24" s="8" t="s">
        <v>8</v>
      </c>
      <c r="I24" s="40">
        <f>Калькулятор!I24</f>
        <v>0</v>
      </c>
      <c r="J24" s="58">
        <f>цены!E34</f>
        <v>269</v>
      </c>
      <c r="K24" s="92">
        <f t="shared" si="0"/>
        <v>0</v>
      </c>
      <c r="L24" s="17"/>
    </row>
    <row r="25" spans="1:12" x14ac:dyDescent="0.25">
      <c r="A25" s="91">
        <v>12</v>
      </c>
      <c r="B25" s="358" t="s">
        <v>78</v>
      </c>
      <c r="C25" s="358"/>
      <c r="D25" s="358"/>
      <c r="E25" s="358"/>
      <c r="F25" s="358"/>
      <c r="G25" s="358"/>
      <c r="H25" s="8" t="s">
        <v>8</v>
      </c>
      <c r="I25" s="40">
        <f>Калькулятор!I25</f>
        <v>0</v>
      </c>
      <c r="J25" s="58">
        <f>цены!E35</f>
        <v>5380</v>
      </c>
      <c r="K25" s="92">
        <f t="shared" si="0"/>
        <v>0</v>
      </c>
      <c r="L25" s="17"/>
    </row>
    <row r="26" spans="1:12" x14ac:dyDescent="0.25">
      <c r="A26" s="91">
        <v>13</v>
      </c>
      <c r="B26" s="358" t="s">
        <v>83</v>
      </c>
      <c r="C26" s="358"/>
      <c r="D26" s="358"/>
      <c r="E26" s="358"/>
      <c r="F26" s="358"/>
      <c r="G26" s="358"/>
      <c r="H26" s="8" t="s">
        <v>8</v>
      </c>
      <c r="I26" s="40">
        <f>Калькулятор!I26</f>
        <v>0</v>
      </c>
      <c r="J26" s="58">
        <f>цены!E36</f>
        <v>4035</v>
      </c>
      <c r="K26" s="92">
        <f t="shared" si="0"/>
        <v>0</v>
      </c>
      <c r="L26" s="17"/>
    </row>
    <row r="27" spans="1:12" x14ac:dyDescent="0.25">
      <c r="A27" s="237">
        <v>14</v>
      </c>
      <c r="B27" s="366" t="s">
        <v>261</v>
      </c>
      <c r="C27" s="367"/>
      <c r="D27" s="367"/>
      <c r="E27" s="367"/>
      <c r="F27" s="367"/>
      <c r="G27" s="368"/>
      <c r="H27" s="238" t="s">
        <v>8</v>
      </c>
      <c r="I27" s="40">
        <f>Калькулятор!I27</f>
        <v>0</v>
      </c>
      <c r="J27" s="58">
        <f>цены!E37</f>
        <v>2690</v>
      </c>
      <c r="K27" s="92">
        <f t="shared" si="0"/>
        <v>0</v>
      </c>
      <c r="L27" s="17"/>
    </row>
    <row r="28" spans="1:12" x14ac:dyDescent="0.25">
      <c r="A28" s="237">
        <v>15</v>
      </c>
      <c r="B28" s="366" t="s">
        <v>257</v>
      </c>
      <c r="C28" s="367"/>
      <c r="D28" s="367"/>
      <c r="E28" s="367"/>
      <c r="F28" s="367"/>
      <c r="G28" s="368"/>
      <c r="H28" s="238" t="s">
        <v>112</v>
      </c>
      <c r="I28" s="40">
        <f>Калькулятор!I28</f>
        <v>0</v>
      </c>
      <c r="J28" s="58">
        <f>цены!E38</f>
        <v>807</v>
      </c>
      <c r="K28" s="92">
        <f t="shared" si="0"/>
        <v>0</v>
      </c>
      <c r="L28" s="17"/>
    </row>
    <row r="29" spans="1:12" x14ac:dyDescent="0.25">
      <c r="A29" s="237">
        <v>16</v>
      </c>
      <c r="B29" s="366" t="s">
        <v>258</v>
      </c>
      <c r="C29" s="367"/>
      <c r="D29" s="367"/>
      <c r="E29" s="367"/>
      <c r="F29" s="367"/>
      <c r="G29" s="368"/>
      <c r="H29" s="238" t="s">
        <v>259</v>
      </c>
      <c r="I29" s="40">
        <f>Калькулятор!I29</f>
        <v>0</v>
      </c>
      <c r="J29" s="58">
        <f>Калькулятор!J29</f>
        <v>0</v>
      </c>
      <c r="K29" s="92">
        <f t="shared" si="0"/>
        <v>0</v>
      </c>
      <c r="L29" s="17"/>
    </row>
    <row r="30" spans="1:12" ht="15.75" thickBot="1" x14ac:dyDescent="0.3">
      <c r="A30" s="94">
        <v>17</v>
      </c>
      <c r="B30" s="359" t="s">
        <v>79</v>
      </c>
      <c r="C30" s="359"/>
      <c r="D30" s="359"/>
      <c r="E30" s="359"/>
      <c r="F30" s="359"/>
      <c r="G30" s="359"/>
      <c r="H30" s="98" t="s">
        <v>8</v>
      </c>
      <c r="I30" s="40">
        <f>Калькулятор!I30</f>
        <v>0</v>
      </c>
      <c r="J30" s="112">
        <f>Калькулятор!J30</f>
        <v>0</v>
      </c>
      <c r="K30" s="99">
        <f t="shared" si="0"/>
        <v>0</v>
      </c>
      <c r="L30" s="17"/>
    </row>
    <row r="31" spans="1:12" x14ac:dyDescent="0.25">
      <c r="A31" s="7"/>
      <c r="B31" s="7"/>
      <c r="C31" s="7"/>
      <c r="D31" s="7"/>
      <c r="E31" s="7"/>
      <c r="F31" s="7"/>
      <c r="G31" s="7"/>
      <c r="H31" s="360" t="s">
        <v>7</v>
      </c>
      <c r="I31" s="361"/>
      <c r="J31" s="105"/>
      <c r="K31" s="100">
        <f>SUM(K14:K30)</f>
        <v>41546.800446098801</v>
      </c>
      <c r="L31" s="17"/>
    </row>
    <row r="32" spans="1:12" ht="15.75" thickBot="1" x14ac:dyDescent="0.3">
      <c r="G32" s="3"/>
      <c r="H32" s="362" t="s">
        <v>34</v>
      </c>
      <c r="I32" s="363"/>
      <c r="J32" s="104"/>
      <c r="K32" s="117">
        <f>Калькулятор!K32</f>
        <v>5054</v>
      </c>
      <c r="L32" s="17"/>
    </row>
    <row r="33" spans="1:16" ht="15.75" thickBot="1" x14ac:dyDescent="0.3">
      <c r="B33" s="19"/>
      <c r="C33" s="13"/>
      <c r="D33" s="13"/>
      <c r="E33" s="13"/>
      <c r="F33" s="13"/>
      <c r="G33" s="59"/>
      <c r="H33" s="364" t="s">
        <v>35</v>
      </c>
      <c r="I33" s="365"/>
      <c r="J33" s="101"/>
      <c r="K33" s="118">
        <f>K31-K32</f>
        <v>36492.800446098801</v>
      </c>
      <c r="L33" s="17"/>
      <c r="P33" s="103"/>
    </row>
    <row r="34" spans="1:16" x14ac:dyDescent="0.25">
      <c r="J34" s="17"/>
      <c r="K34" s="70"/>
      <c r="L34" s="17"/>
    </row>
    <row r="43" spans="1:16" ht="53.25" customHeight="1" x14ac:dyDescent="0.25">
      <c r="A43" s="356" t="s">
        <v>40</v>
      </c>
      <c r="B43" s="357"/>
      <c r="C43" s="357"/>
      <c r="D43" s="357"/>
      <c r="E43" s="357"/>
      <c r="F43" s="357"/>
      <c r="G43" s="357"/>
      <c r="H43" s="357"/>
      <c r="I43" s="357"/>
      <c r="J43" s="357"/>
      <c r="K43" s="357"/>
    </row>
  </sheetData>
  <mergeCells count="32">
    <mergeCell ref="B15:G15"/>
    <mergeCell ref="B1:K1"/>
    <mergeCell ref="A2:K2"/>
    <mergeCell ref="G3:K3"/>
    <mergeCell ref="G4:K4"/>
    <mergeCell ref="G5:K5"/>
    <mergeCell ref="C7:G7"/>
    <mergeCell ref="B9:G9"/>
    <mergeCell ref="B10:G10"/>
    <mergeCell ref="B11:G11"/>
    <mergeCell ref="B13:G13"/>
    <mergeCell ref="B14:J14"/>
    <mergeCell ref="C16:G16"/>
    <mergeCell ref="C17:G17"/>
    <mergeCell ref="C18:E18"/>
    <mergeCell ref="B19:E19"/>
    <mergeCell ref="B20:G20"/>
    <mergeCell ref="B21:G21"/>
    <mergeCell ref="B22:G22"/>
    <mergeCell ref="B23:C23"/>
    <mergeCell ref="D23:G23"/>
    <mergeCell ref="B24:G24"/>
    <mergeCell ref="A43:K43"/>
    <mergeCell ref="B25:G25"/>
    <mergeCell ref="B30:G30"/>
    <mergeCell ref="H31:I31"/>
    <mergeCell ref="H32:I32"/>
    <mergeCell ref="H33:I33"/>
    <mergeCell ref="B27:G27"/>
    <mergeCell ref="B28:G28"/>
    <mergeCell ref="B29:G29"/>
    <mergeCell ref="B26:G26"/>
  </mergeCells>
  <pageMargins left="0.70866141732283472" right="0.70866141732283472" top="0.74803149606299213" bottom="0.74803149606299213" header="0.31496062992125984" footer="0.31496062992125984"/>
  <pageSetup paperSize="9" scale="87" orientation="portrait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2:D12"/>
  <sheetViews>
    <sheetView workbookViewId="0">
      <selection activeCell="C5" sqref="C5"/>
    </sheetView>
  </sheetViews>
  <sheetFormatPr defaultColWidth="8.85546875" defaultRowHeight="15" x14ac:dyDescent="0.25"/>
  <cols>
    <col min="2" max="2" width="46.42578125" customWidth="1"/>
    <col min="3" max="3" width="16" customWidth="1"/>
  </cols>
  <sheetData>
    <row r="2" spans="2:4" x14ac:dyDescent="0.25">
      <c r="B2" s="1" t="s">
        <v>183</v>
      </c>
      <c r="C2" s="107">
        <f>setup!C3</f>
        <v>0</v>
      </c>
      <c r="D2" s="52" t="s">
        <v>184</v>
      </c>
    </row>
    <row r="3" spans="2:4" x14ac:dyDescent="0.25">
      <c r="B3" s="89" t="s">
        <v>182</v>
      </c>
      <c r="C3" s="107">
        <v>0</v>
      </c>
      <c r="D3" s="52" t="s">
        <v>185</v>
      </c>
    </row>
    <row r="4" spans="2:4" x14ac:dyDescent="0.25">
      <c r="B4" s="89" t="s">
        <v>190</v>
      </c>
      <c r="C4" s="106">
        <f>'Калькулятор себестоимость'!K33-себ.!K38</f>
        <v>16837.269356903147</v>
      </c>
    </row>
    <row r="5" spans="2:4" s="52" customFormat="1" x14ac:dyDescent="0.25">
      <c r="B5" s="89" t="s">
        <v>201</v>
      </c>
      <c r="C5" s="179">
        <f>C4-C8</f>
        <v>13187.989312293266</v>
      </c>
    </row>
    <row r="7" spans="2:4" x14ac:dyDescent="0.25">
      <c r="B7" s="44" t="s">
        <v>189</v>
      </c>
    </row>
    <row r="8" spans="2:4" x14ac:dyDescent="0.25">
      <c r="B8" s="89" t="s">
        <v>186</v>
      </c>
      <c r="C8" s="177">
        <f>('Калькулятор себестоимость'!K33-'Калькулятор себестоимость'!K29-'Калькулятор себестоимость'!K30)*0.1</f>
        <v>3649.2800446098804</v>
      </c>
    </row>
    <row r="9" spans="2:4" x14ac:dyDescent="0.25">
      <c r="B9" s="89" t="s">
        <v>187</v>
      </c>
      <c r="C9" s="177">
        <f>Калькулятор!K33-'Калькулятор себестоимость'!K33</f>
        <v>32.719999997847481</v>
      </c>
    </row>
    <row r="10" spans="2:4" x14ac:dyDescent="0.25">
      <c r="B10" s="89" t="s">
        <v>188</v>
      </c>
      <c r="C10" s="178">
        <f>C8+C9</f>
        <v>3682.0000446077279</v>
      </c>
    </row>
    <row r="12" spans="2:4" ht="75" x14ac:dyDescent="0.25">
      <c r="B12" s="189" t="s">
        <v>202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U39"/>
  <sheetViews>
    <sheetView showGridLines="0" topLeftCell="F11" workbookViewId="0">
      <selection activeCell="N21" sqref="N21"/>
    </sheetView>
  </sheetViews>
  <sheetFormatPr defaultColWidth="8.85546875" defaultRowHeight="15" x14ac:dyDescent="0.25"/>
  <cols>
    <col min="1" max="1" width="4.7109375" style="52" customWidth="1"/>
    <col min="2" max="2" width="16.7109375" style="52" customWidth="1"/>
    <col min="3" max="3" width="7" style="52" customWidth="1"/>
    <col min="4" max="4" width="6.42578125" style="52" customWidth="1"/>
    <col min="5" max="5" width="8" style="52" customWidth="1"/>
    <col min="6" max="6" width="1.42578125" style="52" customWidth="1"/>
    <col min="7" max="7" width="12" style="52" customWidth="1"/>
    <col min="8" max="8" width="10" style="52" customWidth="1"/>
    <col min="9" max="9" width="8.28515625" style="52" customWidth="1"/>
    <col min="10" max="10" width="12.7109375" style="52" customWidth="1"/>
    <col min="11" max="11" width="13.28515625" style="52" customWidth="1"/>
    <col min="12" max="12" width="8.140625" style="52" customWidth="1"/>
    <col min="13" max="13" width="55.85546875" style="52" customWidth="1"/>
    <col min="14" max="14" width="31.7109375" style="52" customWidth="1"/>
    <col min="15" max="15" width="8.85546875" style="52"/>
    <col min="16" max="16" width="12.140625" style="52" customWidth="1"/>
    <col min="17" max="16384" width="8.85546875" style="52"/>
  </cols>
  <sheetData>
    <row r="1" spans="1:21" ht="30.75" customHeight="1" x14ac:dyDescent="0.25">
      <c r="A1" s="16"/>
      <c r="B1" s="389"/>
      <c r="C1" s="389"/>
      <c r="D1" s="389"/>
      <c r="E1" s="389"/>
      <c r="F1" s="389"/>
      <c r="G1" s="389"/>
      <c r="H1" s="389"/>
      <c r="I1" s="389"/>
      <c r="J1" s="389"/>
      <c r="K1" s="389"/>
    </row>
    <row r="2" spans="1:21" ht="6" customHeight="1" x14ac:dyDescent="0.25">
      <c r="A2" s="373"/>
      <c r="B2" s="373"/>
      <c r="C2" s="373"/>
      <c r="D2" s="373"/>
      <c r="E2" s="373"/>
      <c r="F2" s="373"/>
      <c r="G2" s="373"/>
      <c r="H2" s="373"/>
      <c r="I2" s="373"/>
      <c r="J2" s="373"/>
      <c r="K2" s="373"/>
      <c r="L2" s="4"/>
      <c r="M2" s="4"/>
      <c r="N2" s="4"/>
      <c r="O2" s="4"/>
    </row>
    <row r="3" spans="1:21" ht="15.75" customHeight="1" x14ac:dyDescent="0.25">
      <c r="B3" s="15"/>
      <c r="C3" s="15"/>
      <c r="D3" s="15"/>
      <c r="E3" s="15"/>
      <c r="F3" s="15"/>
      <c r="G3" s="390"/>
      <c r="H3" s="390"/>
      <c r="I3" s="390"/>
      <c r="J3" s="390"/>
      <c r="K3" s="390"/>
      <c r="L3" s="4"/>
      <c r="M3" s="4"/>
      <c r="N3" s="4"/>
      <c r="O3" s="4"/>
    </row>
    <row r="4" spans="1:21" ht="15.75" customHeight="1" x14ac:dyDescent="0.25">
      <c r="B4" s="15"/>
      <c r="C4" s="15"/>
      <c r="D4" s="15"/>
      <c r="E4" s="15"/>
      <c r="F4" s="15"/>
      <c r="G4" s="390"/>
      <c r="H4" s="390"/>
      <c r="I4" s="390"/>
      <c r="J4" s="390"/>
      <c r="K4" s="390"/>
      <c r="L4" s="4"/>
      <c r="M4" s="4"/>
      <c r="N4" s="4"/>
      <c r="O4" s="4"/>
    </row>
    <row r="5" spans="1:21" ht="15.75" x14ac:dyDescent="0.25">
      <c r="B5" s="15"/>
      <c r="C5" s="15"/>
      <c r="D5" s="15"/>
      <c r="E5" s="15"/>
      <c r="F5" s="15"/>
      <c r="G5" s="390"/>
      <c r="H5" s="390"/>
      <c r="I5" s="390"/>
      <c r="J5" s="390"/>
      <c r="K5" s="390"/>
      <c r="L5" s="4"/>
      <c r="M5" s="4"/>
      <c r="N5" s="4"/>
      <c r="O5" s="4"/>
    </row>
    <row r="6" spans="1:21" ht="12.75" customHeight="1" x14ac:dyDescent="0.25">
      <c r="B6" s="5"/>
      <c r="C6" s="5"/>
      <c r="D6" s="5"/>
      <c r="E6" s="5"/>
      <c r="F6" s="5"/>
      <c r="G6" s="18"/>
      <c r="H6" s="5"/>
      <c r="I6" s="5"/>
      <c r="J6" s="5"/>
      <c r="K6" s="4"/>
      <c r="L6" s="4"/>
      <c r="M6" s="4"/>
      <c r="N6" s="4"/>
      <c r="O6" s="4"/>
    </row>
    <row r="7" spans="1:21" ht="15.75" x14ac:dyDescent="0.25">
      <c r="B7" s="62" t="s">
        <v>22</v>
      </c>
      <c r="C7" s="375" t="str">
        <f>Калькулятор!C7</f>
        <v>Grandex A</v>
      </c>
      <c r="D7" s="376"/>
      <c r="E7" s="376"/>
      <c r="F7" s="376"/>
      <c r="G7" s="377"/>
      <c r="H7" s="62"/>
      <c r="I7" s="63"/>
      <c r="J7" s="63"/>
      <c r="K7" s="64"/>
      <c r="L7" s="4"/>
      <c r="M7" s="4"/>
      <c r="N7" s="4"/>
      <c r="O7" s="4"/>
    </row>
    <row r="8" spans="1:21" x14ac:dyDescent="0.25">
      <c r="B8" s="17"/>
      <c r="C8" s="17"/>
      <c r="D8" s="17"/>
      <c r="E8" s="17"/>
      <c r="F8" s="17"/>
      <c r="G8" s="17"/>
      <c r="H8" s="17"/>
      <c r="I8" s="17"/>
      <c r="J8" s="17"/>
      <c r="K8" s="17"/>
      <c r="P8" s="14"/>
    </row>
    <row r="9" spans="1:21" ht="15.75" x14ac:dyDescent="0.25">
      <c r="B9" s="378" t="s">
        <v>1</v>
      </c>
      <c r="C9" s="379"/>
      <c r="D9" s="379"/>
      <c r="E9" s="379"/>
      <c r="F9" s="379"/>
      <c r="G9" s="380"/>
      <c r="H9" s="65" t="s">
        <v>2</v>
      </c>
      <c r="I9" s="66" t="s">
        <v>3</v>
      </c>
      <c r="J9" s="41"/>
      <c r="K9" s="17"/>
      <c r="P9" s="11"/>
    </row>
    <row r="10" spans="1:21" ht="17.25" x14ac:dyDescent="0.25">
      <c r="A10" s="12"/>
      <c r="B10" s="381" t="s">
        <v>41</v>
      </c>
      <c r="C10" s="382"/>
      <c r="D10" s="382"/>
      <c r="E10" s="382"/>
      <c r="F10" s="382"/>
      <c r="G10" s="383"/>
      <c r="H10" s="8" t="s">
        <v>9</v>
      </c>
      <c r="I10" s="40">
        <f>Калькулятор!I10</f>
        <v>1.89</v>
      </c>
      <c r="J10" s="54"/>
      <c r="K10" s="17"/>
      <c r="U10" s="26"/>
    </row>
    <row r="11" spans="1:21" ht="17.25" x14ac:dyDescent="0.25">
      <c r="A11" s="12"/>
      <c r="B11" s="381" t="s">
        <v>4</v>
      </c>
      <c r="C11" s="382"/>
      <c r="D11" s="382"/>
      <c r="E11" s="382"/>
      <c r="F11" s="382"/>
      <c r="G11" s="383"/>
      <c r="H11" s="8" t="s">
        <v>9</v>
      </c>
      <c r="I11" s="40">
        <f>Калькулятор!I11</f>
        <v>0</v>
      </c>
      <c r="J11" s="54"/>
      <c r="K11" s="17"/>
    </row>
    <row r="12" spans="1:21" x14ac:dyDescent="0.25">
      <c r="B12" s="17"/>
      <c r="C12" s="17"/>
      <c r="D12" s="17"/>
      <c r="E12" s="17"/>
      <c r="F12" s="17"/>
      <c r="G12" s="17"/>
      <c r="H12" s="17"/>
      <c r="I12" s="17"/>
      <c r="J12" s="17"/>
      <c r="K12" s="17"/>
      <c r="M12" s="52" t="s">
        <v>109</v>
      </c>
      <c r="P12" s="11"/>
    </row>
    <row r="13" spans="1:21" ht="25.5" x14ac:dyDescent="0.25">
      <c r="A13" s="73" t="s">
        <v>0</v>
      </c>
      <c r="B13" s="391" t="s">
        <v>1</v>
      </c>
      <c r="C13" s="392"/>
      <c r="D13" s="392"/>
      <c r="E13" s="392"/>
      <c r="F13" s="392"/>
      <c r="G13" s="393"/>
      <c r="H13" s="67" t="s">
        <v>2</v>
      </c>
      <c r="I13" s="67" t="s">
        <v>3</v>
      </c>
      <c r="J13" s="67" t="s">
        <v>24</v>
      </c>
      <c r="K13" s="67" t="s">
        <v>111</v>
      </c>
      <c r="M13" s="1" t="s">
        <v>102</v>
      </c>
      <c r="N13" s="265">
        <f>Калькулятор!I10+((Калькулятор!G18/1000)*Калькулятор!I18)+((Калькулятор!G19/1000)*Калькулятор!I19)+(0.05*Калькулятор!I17)+Калькулятор!I11</f>
        <v>2.3734999999999999</v>
      </c>
    </row>
    <row r="14" spans="1:21" x14ac:dyDescent="0.25">
      <c r="A14" s="8">
        <v>1</v>
      </c>
      <c r="B14" s="366" t="s">
        <v>110</v>
      </c>
      <c r="C14" s="367"/>
      <c r="D14" s="367"/>
      <c r="E14" s="367"/>
      <c r="F14" s="367"/>
      <c r="G14" s="367"/>
      <c r="H14" s="367"/>
      <c r="I14" s="367"/>
      <c r="J14" s="368"/>
      <c r="K14" s="81">
        <f>N20+N21+N22</f>
        <v>7598.8990445859872</v>
      </c>
      <c r="M14" s="1" t="s">
        <v>103</v>
      </c>
      <c r="N14" s="1">
        <f>N13*1.1</f>
        <v>2.6108500000000001</v>
      </c>
    </row>
    <row r="15" spans="1:21" x14ac:dyDescent="0.25">
      <c r="A15" s="8">
        <v>2</v>
      </c>
      <c r="B15" s="358" t="s">
        <v>117</v>
      </c>
      <c r="C15" s="358"/>
      <c r="D15" s="358"/>
      <c r="E15" s="358"/>
      <c r="F15" s="358"/>
      <c r="G15" s="358"/>
      <c r="H15" s="28" t="s">
        <v>118</v>
      </c>
      <c r="I15" s="40" t="s">
        <v>118</v>
      </c>
      <c r="J15" s="57" t="s">
        <v>118</v>
      </c>
      <c r="K15" s="245">
        <f>(N24*N27)+(N25*N28)</f>
        <v>3667.6699999999996</v>
      </c>
      <c r="M15" s="1" t="s">
        <v>101</v>
      </c>
      <c r="N15" s="1">
        <f>N14/2.78</f>
        <v>0.93915467625899296</v>
      </c>
    </row>
    <row r="16" spans="1:21" x14ac:dyDescent="0.25">
      <c r="A16" s="8">
        <v>3</v>
      </c>
      <c r="B16" s="358" t="s">
        <v>5</v>
      </c>
      <c r="C16" s="358"/>
      <c r="D16" s="358"/>
      <c r="E16" s="358"/>
      <c r="F16" s="358"/>
      <c r="G16" s="358"/>
      <c r="H16" s="28" t="s">
        <v>8</v>
      </c>
      <c r="I16" s="40">
        <f>Калькулятор!I15</f>
        <v>1</v>
      </c>
      <c r="J16" s="57">
        <f>цены!F17</f>
        <v>371.74721189591077</v>
      </c>
      <c r="K16" s="245">
        <f t="shared" ref="K16:K23" si="0">I16*J16</f>
        <v>371.74721189591077</v>
      </c>
      <c r="M16" s="1" t="s">
        <v>104</v>
      </c>
      <c r="N16" s="1">
        <f>CEILING(N15,0.5)</f>
        <v>1</v>
      </c>
    </row>
    <row r="17" spans="1:14" x14ac:dyDescent="0.25">
      <c r="A17" s="8">
        <v>4</v>
      </c>
      <c r="B17" s="27" t="s">
        <v>45</v>
      </c>
      <c r="C17" s="366" t="str">
        <f>Калькулятор!C16</f>
        <v>с подстольным монтажом мойки</v>
      </c>
      <c r="D17" s="367"/>
      <c r="E17" s="367"/>
      <c r="F17" s="367"/>
      <c r="G17" s="368"/>
      <c r="H17" s="28" t="s">
        <v>8</v>
      </c>
      <c r="I17" s="40">
        <f>Калькулятор!I16</f>
        <v>1</v>
      </c>
      <c r="J17" s="57">
        <f>VLOOKUP(C17,цены!C18:F22,4,FALSE)</f>
        <v>743.49442379182153</v>
      </c>
      <c r="K17" s="245">
        <f t="shared" si="0"/>
        <v>743.49442379182153</v>
      </c>
      <c r="M17" s="1" t="s">
        <v>105</v>
      </c>
      <c r="N17" s="1">
        <v>2.782</v>
      </c>
    </row>
    <row r="18" spans="1:14" x14ac:dyDescent="0.25">
      <c r="A18" s="8">
        <v>5</v>
      </c>
      <c r="B18" s="10" t="s">
        <v>46</v>
      </c>
      <c r="C18" s="366" t="str">
        <f>Калькулятор!C17</f>
        <v>Накладной</v>
      </c>
      <c r="D18" s="367"/>
      <c r="E18" s="367"/>
      <c r="F18" s="367"/>
      <c r="G18" s="368"/>
      <c r="H18" s="12" t="s">
        <v>25</v>
      </c>
      <c r="I18" s="40">
        <f>Калькулятор!I17</f>
        <v>5.91</v>
      </c>
      <c r="J18" s="58">
        <f>VLOOKUP(C18,цены!C23:F24,4,FALSE)</f>
        <v>148.69888475836433</v>
      </c>
      <c r="K18" s="245">
        <f t="shared" si="0"/>
        <v>878.81040892193323</v>
      </c>
      <c r="M18" s="1" t="s">
        <v>173</v>
      </c>
      <c r="N18" s="1">
        <f>CEILING(N16*4,1)</f>
        <v>4</v>
      </c>
    </row>
    <row r="19" spans="1:14" x14ac:dyDescent="0.25">
      <c r="A19" s="8">
        <v>6</v>
      </c>
      <c r="B19" s="10" t="s">
        <v>42</v>
      </c>
      <c r="C19" s="366" t="str">
        <f>Калькулятор!C18</f>
        <v>Стандартная</v>
      </c>
      <c r="D19" s="367"/>
      <c r="E19" s="368"/>
      <c r="F19" s="68"/>
      <c r="G19" s="69"/>
      <c r="H19" s="12" t="s">
        <v>25</v>
      </c>
      <c r="I19" s="40">
        <f>Калькулятор!I18</f>
        <v>4.7</v>
      </c>
      <c r="J19" s="58">
        <f>VLOOKUP(себ.!C19,цены!C25:F27,4,FALSE)</f>
        <v>0</v>
      </c>
      <c r="K19" s="245">
        <f t="shared" si="0"/>
        <v>0</v>
      </c>
      <c r="M19" s="1" t="s">
        <v>23</v>
      </c>
      <c r="N19" s="74" t="str">
        <f>Калькулятор!C7</f>
        <v>Grandex A</v>
      </c>
    </row>
    <row r="20" spans="1:14" x14ac:dyDescent="0.25">
      <c r="A20" s="8">
        <v>7</v>
      </c>
      <c r="B20" s="358" t="s">
        <v>119</v>
      </c>
      <c r="C20" s="358"/>
      <c r="D20" s="358"/>
      <c r="E20" s="358"/>
      <c r="F20" s="358"/>
      <c r="G20" s="358"/>
      <c r="H20" s="12" t="s">
        <v>25</v>
      </c>
      <c r="I20" s="77">
        <f>N24*Калькулятор!I21</f>
        <v>2.0779999999999998</v>
      </c>
      <c r="J20" s="58">
        <f>цены!F30</f>
        <v>1345</v>
      </c>
      <c r="K20" s="245">
        <f t="shared" si="0"/>
        <v>2794.91</v>
      </c>
      <c r="M20" s="1" t="s">
        <v>106</v>
      </c>
      <c r="N20" s="75">
        <f>(VLOOKUP(N19,Материал!A3:J68,3,FALSE))*N16*N17</f>
        <v>1457.4490445859872</v>
      </c>
    </row>
    <row r="21" spans="1:14" x14ac:dyDescent="0.25">
      <c r="A21" s="8">
        <v>8</v>
      </c>
      <c r="B21" s="358" t="s">
        <v>75</v>
      </c>
      <c r="C21" s="358"/>
      <c r="D21" s="358"/>
      <c r="E21" s="358"/>
      <c r="F21" s="358"/>
      <c r="G21" s="358"/>
      <c r="H21" s="8" t="s">
        <v>8</v>
      </c>
      <c r="I21" s="40">
        <f>Калькулятор!I20</f>
        <v>0</v>
      </c>
      <c r="J21" s="58">
        <f>цены!F29</f>
        <v>1345</v>
      </c>
      <c r="K21" s="245">
        <f t="shared" si="0"/>
        <v>0</v>
      </c>
      <c r="M21" s="1" t="s">
        <v>108</v>
      </c>
      <c r="N21" s="75">
        <f>16*N18*Материал!M12</f>
        <v>4480</v>
      </c>
    </row>
    <row r="22" spans="1:14" x14ac:dyDescent="0.25">
      <c r="A22" s="8">
        <v>9</v>
      </c>
      <c r="B22" s="358" t="s">
        <v>120</v>
      </c>
      <c r="C22" s="358"/>
      <c r="D22" s="358"/>
      <c r="E22" s="358"/>
      <c r="F22" s="358"/>
      <c r="G22" s="358"/>
      <c r="H22" s="8" t="s">
        <v>112</v>
      </c>
      <c r="I22" s="77">
        <f>N25</f>
        <v>0</v>
      </c>
      <c r="J22" s="58">
        <f>цены!F31</f>
        <v>672.5</v>
      </c>
      <c r="K22" s="245">
        <f t="shared" si="0"/>
        <v>0</v>
      </c>
      <c r="M22" s="1" t="s">
        <v>203</v>
      </c>
      <c r="N22" s="75">
        <f>700*N13</f>
        <v>1661.45</v>
      </c>
    </row>
    <row r="23" spans="1:14" x14ac:dyDescent="0.25">
      <c r="A23" s="8">
        <v>10</v>
      </c>
      <c r="B23" s="358" t="s">
        <v>72</v>
      </c>
      <c r="C23" s="358"/>
      <c r="D23" s="358"/>
      <c r="E23" s="358"/>
      <c r="F23" s="358"/>
      <c r="G23" s="358"/>
      <c r="H23" s="8" t="s">
        <v>8</v>
      </c>
      <c r="I23" s="40">
        <f>Калькулятор!I22</f>
        <v>1</v>
      </c>
      <c r="J23" s="58">
        <f>Калькулятор!J22</f>
        <v>2500</v>
      </c>
      <c r="K23" s="246">
        <f t="shared" si="0"/>
        <v>2500</v>
      </c>
    </row>
    <row r="24" spans="1:14" x14ac:dyDescent="0.25">
      <c r="A24" s="8">
        <v>11</v>
      </c>
      <c r="B24" s="366" t="s">
        <v>43</v>
      </c>
      <c r="C24" s="367"/>
      <c r="D24" s="366" t="str">
        <f>Калькулятор!D23</f>
        <v>Отсутствует</v>
      </c>
      <c r="E24" s="367"/>
      <c r="F24" s="367"/>
      <c r="G24" s="368"/>
      <c r="H24" s="8" t="s">
        <v>8</v>
      </c>
      <c r="I24" s="40">
        <f>Калькулятор!I23</f>
        <v>0</v>
      </c>
      <c r="J24" s="58">
        <f>INDEX('мойки себестоимость'!A1:P67,MATCH(C7,'мойки себестоимость'!A1:A67,0),MATCH(D24,'мойки себестоимость'!A1:P1,0))</f>
        <v>0</v>
      </c>
      <c r="K24" s="247">
        <f t="shared" ref="K24:K31" si="1">I24*J24</f>
        <v>0</v>
      </c>
      <c r="M24" s="44" t="s">
        <v>113</v>
      </c>
      <c r="N24" s="76">
        <f>Калькулятор!I10+((Калькулятор!G18/1000)*Калькулятор!I18)+((Калькулятор!G19/1000)*Калькулятор!I19)</f>
        <v>2.0779999999999998</v>
      </c>
    </row>
    <row r="25" spans="1:14" x14ac:dyDescent="0.25">
      <c r="A25" s="8">
        <v>12</v>
      </c>
      <c r="B25" s="358" t="s">
        <v>77</v>
      </c>
      <c r="C25" s="358"/>
      <c r="D25" s="358"/>
      <c r="E25" s="358"/>
      <c r="F25" s="358"/>
      <c r="G25" s="358"/>
      <c r="H25" s="8" t="s">
        <v>8</v>
      </c>
      <c r="I25" s="40">
        <f>Калькулятор!I24</f>
        <v>0</v>
      </c>
      <c r="J25" s="58">
        <f>цены!F34</f>
        <v>67.25</v>
      </c>
      <c r="K25" s="245">
        <f t="shared" si="1"/>
        <v>0</v>
      </c>
      <c r="M25" s="44" t="s">
        <v>114</v>
      </c>
      <c r="N25" s="52">
        <f>Калькулятор!I11</f>
        <v>0</v>
      </c>
    </row>
    <row r="26" spans="1:14" x14ac:dyDescent="0.25">
      <c r="A26" s="8">
        <v>13</v>
      </c>
      <c r="B26" s="358" t="s">
        <v>78</v>
      </c>
      <c r="C26" s="358"/>
      <c r="D26" s="358"/>
      <c r="E26" s="358"/>
      <c r="F26" s="358"/>
      <c r="G26" s="358"/>
      <c r="H26" s="8" t="s">
        <v>8</v>
      </c>
      <c r="I26" s="40">
        <f>Калькулятор!I25</f>
        <v>0</v>
      </c>
      <c r="J26" s="58">
        <f>цены!F35</f>
        <v>4035</v>
      </c>
      <c r="K26" s="245">
        <f t="shared" si="1"/>
        <v>0</v>
      </c>
    </row>
    <row r="27" spans="1:14" x14ac:dyDescent="0.25">
      <c r="A27" s="8">
        <v>14</v>
      </c>
      <c r="B27" s="358" t="s">
        <v>83</v>
      </c>
      <c r="C27" s="358"/>
      <c r="D27" s="358"/>
      <c r="E27" s="358"/>
      <c r="F27" s="358"/>
      <c r="G27" s="358"/>
      <c r="H27" s="8" t="s">
        <v>8</v>
      </c>
      <c r="I27" s="40">
        <f>Калькулятор!I26</f>
        <v>0</v>
      </c>
      <c r="J27" s="58">
        <f>цены!F36</f>
        <v>2017.5</v>
      </c>
      <c r="K27" s="245">
        <f t="shared" si="1"/>
        <v>0</v>
      </c>
      <c r="M27" s="78" t="s">
        <v>115</v>
      </c>
      <c r="N27" s="75">
        <v>1765</v>
      </c>
    </row>
    <row r="28" spans="1:14" x14ac:dyDescent="0.25">
      <c r="A28" s="8">
        <v>15</v>
      </c>
      <c r="B28" s="366" t="s">
        <v>261</v>
      </c>
      <c r="C28" s="367"/>
      <c r="D28" s="367"/>
      <c r="E28" s="367"/>
      <c r="F28" s="367"/>
      <c r="G28" s="368"/>
      <c r="H28" s="8" t="s">
        <v>8</v>
      </c>
      <c r="I28" s="40">
        <f>Калькулятор!I27</f>
        <v>0</v>
      </c>
      <c r="J28" s="58">
        <f>цены!F37</f>
        <v>1345</v>
      </c>
      <c r="K28" s="245">
        <f t="shared" si="1"/>
        <v>0</v>
      </c>
      <c r="M28" s="78" t="s">
        <v>116</v>
      </c>
      <c r="N28" s="75">
        <v>1000</v>
      </c>
    </row>
    <row r="29" spans="1:14" ht="17.25" x14ac:dyDescent="0.25">
      <c r="A29" s="8">
        <v>16</v>
      </c>
      <c r="B29" s="366" t="s">
        <v>257</v>
      </c>
      <c r="C29" s="367"/>
      <c r="D29" s="367"/>
      <c r="E29" s="367"/>
      <c r="F29" s="367"/>
      <c r="G29" s="368"/>
      <c r="H29" s="8" t="s">
        <v>9</v>
      </c>
      <c r="I29" s="40">
        <f>Калькулятор!I28</f>
        <v>0</v>
      </c>
      <c r="J29" s="58">
        <f>цены!F38</f>
        <v>672.5</v>
      </c>
      <c r="K29" s="248">
        <f t="shared" si="1"/>
        <v>0</v>
      </c>
      <c r="M29" s="79"/>
      <c r="N29" s="80"/>
    </row>
    <row r="30" spans="1:14" x14ac:dyDescent="0.25">
      <c r="A30" s="8">
        <v>17</v>
      </c>
      <c r="B30" s="366" t="s">
        <v>258</v>
      </c>
      <c r="C30" s="367"/>
      <c r="D30" s="367"/>
      <c r="E30" s="367"/>
      <c r="F30" s="367"/>
      <c r="G30" s="368"/>
      <c r="H30" s="8" t="s">
        <v>259</v>
      </c>
      <c r="I30" s="40">
        <f>Калькулятор!I29</f>
        <v>0</v>
      </c>
      <c r="J30" s="58">
        <f>Калькулятор!J29</f>
        <v>0</v>
      </c>
      <c r="K30" s="248">
        <f t="shared" si="1"/>
        <v>0</v>
      </c>
      <c r="M30" s="79"/>
      <c r="N30" s="80"/>
    </row>
    <row r="31" spans="1:14" x14ac:dyDescent="0.25">
      <c r="A31" s="8">
        <v>18</v>
      </c>
      <c r="B31" s="358" t="s">
        <v>79</v>
      </c>
      <c r="C31" s="358"/>
      <c r="D31" s="358"/>
      <c r="E31" s="358"/>
      <c r="F31" s="358"/>
      <c r="G31" s="358"/>
      <c r="H31" s="8" t="s">
        <v>8</v>
      </c>
      <c r="I31" s="40">
        <f>Калькулятор!I30</f>
        <v>0</v>
      </c>
      <c r="J31" s="58">
        <f>Калькулятор!J30</f>
        <v>0</v>
      </c>
      <c r="K31" s="248">
        <f t="shared" si="1"/>
        <v>0</v>
      </c>
    </row>
    <row r="32" spans="1:14" ht="15.75" thickBot="1" x14ac:dyDescent="0.3">
      <c r="A32" s="8">
        <v>19</v>
      </c>
      <c r="B32" s="366" t="s">
        <v>122</v>
      </c>
      <c r="C32" s="367"/>
      <c r="D32" s="367"/>
      <c r="E32" s="367"/>
      <c r="F32" s="367"/>
      <c r="G32" s="368"/>
      <c r="H32" s="238"/>
      <c r="I32" s="249"/>
      <c r="J32" s="250"/>
      <c r="K32" s="251">
        <v>1100</v>
      </c>
      <c r="M32" s="79"/>
      <c r="N32" s="80"/>
    </row>
    <row r="33" spans="1:13" x14ac:dyDescent="0.25">
      <c r="A33" s="7"/>
      <c r="B33" s="44"/>
      <c r="C33" s="44"/>
      <c r="D33" s="44"/>
      <c r="E33" s="44"/>
      <c r="F33" s="44"/>
      <c r="G33" s="44"/>
      <c r="H33" s="360" t="s">
        <v>123</v>
      </c>
      <c r="I33" s="361"/>
      <c r="J33" s="190" t="s">
        <v>118</v>
      </c>
      <c r="K33" s="252">
        <f>K14</f>
        <v>7598.8990445859872</v>
      </c>
    </row>
    <row r="34" spans="1:13" x14ac:dyDescent="0.25">
      <c r="A34" s="7"/>
      <c r="B34" s="44"/>
      <c r="C34" s="44"/>
      <c r="D34" s="44"/>
      <c r="E34" s="44"/>
      <c r="F34" s="44"/>
      <c r="G34" s="44"/>
      <c r="H34" s="362" t="s">
        <v>124</v>
      </c>
      <c r="I34" s="363"/>
      <c r="J34" s="191" t="s">
        <v>118</v>
      </c>
      <c r="K34" s="253">
        <f>SUM(K15:K22)+K25+K26+K27+K28+K32</f>
        <v>9556.6320446096652</v>
      </c>
      <c r="M34" s="82"/>
    </row>
    <row r="35" spans="1:13" x14ac:dyDescent="0.25">
      <c r="A35" s="7"/>
      <c r="B35" s="44"/>
      <c r="C35" s="44"/>
      <c r="D35" s="44"/>
      <c r="E35" s="44"/>
      <c r="F35" s="44"/>
      <c r="G35" s="44"/>
      <c r="H35" s="387" t="s">
        <v>125</v>
      </c>
      <c r="I35" s="388"/>
      <c r="J35" s="191" t="s">
        <v>118</v>
      </c>
      <c r="K35" s="254">
        <f>K23</f>
        <v>2500</v>
      </c>
    </row>
    <row r="36" spans="1:13" x14ac:dyDescent="0.25">
      <c r="A36" s="7"/>
      <c r="B36" s="44"/>
      <c r="C36" s="44"/>
      <c r="D36" s="44"/>
      <c r="E36" s="44"/>
      <c r="F36" s="44"/>
      <c r="G36" s="44"/>
      <c r="H36" s="387" t="s">
        <v>128</v>
      </c>
      <c r="I36" s="388"/>
      <c r="J36" s="191" t="s">
        <v>118</v>
      </c>
      <c r="K36" s="255">
        <f>K24</f>
        <v>0</v>
      </c>
    </row>
    <row r="37" spans="1:13" x14ac:dyDescent="0.25">
      <c r="B37" s="17"/>
      <c r="C37" s="17"/>
      <c r="D37" s="17"/>
      <c r="E37" s="17"/>
      <c r="F37" s="17"/>
      <c r="G37" s="70"/>
      <c r="H37" s="362" t="s">
        <v>126</v>
      </c>
      <c r="I37" s="363"/>
      <c r="J37" s="191"/>
      <c r="K37" s="256">
        <f>K29+K30+K31</f>
        <v>0</v>
      </c>
    </row>
    <row r="38" spans="1:13" ht="15.75" thickBot="1" x14ac:dyDescent="0.3">
      <c r="B38" s="22"/>
      <c r="C38" s="71"/>
      <c r="D38" s="71"/>
      <c r="E38" s="71"/>
      <c r="F38" s="71"/>
      <c r="G38" s="72"/>
      <c r="H38" s="364" t="s">
        <v>127</v>
      </c>
      <c r="I38" s="365"/>
      <c r="J38" s="192"/>
      <c r="K38" s="257">
        <f>SUM(K33:K37)</f>
        <v>19655.531089195654</v>
      </c>
    </row>
    <row r="39" spans="1:13" x14ac:dyDescent="0.25">
      <c r="K39" s="3"/>
    </row>
  </sheetData>
  <mergeCells count="36">
    <mergeCell ref="C7:G7"/>
    <mergeCell ref="B20:G20"/>
    <mergeCell ref="B32:G32"/>
    <mergeCell ref="H34:I34"/>
    <mergeCell ref="H35:I35"/>
    <mergeCell ref="B21:G21"/>
    <mergeCell ref="B9:G9"/>
    <mergeCell ref="B10:G10"/>
    <mergeCell ref="B11:G11"/>
    <mergeCell ref="B13:G13"/>
    <mergeCell ref="B14:J14"/>
    <mergeCell ref="B15:G15"/>
    <mergeCell ref="B16:G16"/>
    <mergeCell ref="C17:G17"/>
    <mergeCell ref="C18:G18"/>
    <mergeCell ref="C19:E19"/>
    <mergeCell ref="B1:K1"/>
    <mergeCell ref="A2:K2"/>
    <mergeCell ref="G3:K3"/>
    <mergeCell ref="G4:K4"/>
    <mergeCell ref="G5:K5"/>
    <mergeCell ref="B22:G22"/>
    <mergeCell ref="B23:G23"/>
    <mergeCell ref="B24:C24"/>
    <mergeCell ref="D24:G24"/>
    <mergeCell ref="B25:G25"/>
    <mergeCell ref="H37:I37"/>
    <mergeCell ref="H38:I38"/>
    <mergeCell ref="B26:G26"/>
    <mergeCell ref="H36:I36"/>
    <mergeCell ref="B27:G27"/>
    <mergeCell ref="B31:G31"/>
    <mergeCell ref="H33:I33"/>
    <mergeCell ref="B28:G28"/>
    <mergeCell ref="B29:G29"/>
    <mergeCell ref="B30:G30"/>
  </mergeCells>
  <pageMargins left="0.70866141732283472" right="0.70866141732283472" top="0.74803149606299213" bottom="0.74803149606299213" header="0.31496062992125984" footer="0.31496062992125984"/>
  <pageSetup paperSize="9" scale="86" orientation="portrait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O52"/>
  <sheetViews>
    <sheetView workbookViewId="0">
      <selection activeCell="E19" sqref="E19"/>
    </sheetView>
  </sheetViews>
  <sheetFormatPr defaultColWidth="8.85546875" defaultRowHeight="15" x14ac:dyDescent="0.25"/>
  <cols>
    <col min="1" max="1" width="4.7109375" customWidth="1"/>
    <col min="2" max="2" width="16.7109375" customWidth="1"/>
    <col min="3" max="3" width="46" customWidth="1"/>
    <col min="4" max="4" width="14.7109375" customWidth="1"/>
    <col min="5" max="5" width="15.140625" customWidth="1"/>
    <col min="6" max="6" width="13.28515625" customWidth="1"/>
    <col min="7" max="7" width="13.42578125" customWidth="1"/>
    <col min="8" max="8" width="10.140625" customWidth="1"/>
    <col min="9" max="9" width="14.42578125" customWidth="1"/>
    <col min="10" max="10" width="12.140625" customWidth="1"/>
  </cols>
  <sheetData>
    <row r="1" spans="1:15" ht="21.75" customHeight="1" x14ac:dyDescent="0.25">
      <c r="A1" s="43"/>
      <c r="B1" s="389"/>
      <c r="C1" s="389"/>
      <c r="D1" s="389"/>
      <c r="E1" s="389"/>
      <c r="F1" s="389"/>
    </row>
    <row r="2" spans="1:15" ht="16.5" hidden="1" customHeight="1" x14ac:dyDescent="0.25">
      <c r="A2" s="401"/>
      <c r="B2" s="401"/>
      <c r="C2" s="401"/>
      <c r="D2" s="401"/>
      <c r="E2" s="401"/>
      <c r="F2" s="401"/>
      <c r="G2" s="4"/>
      <c r="H2" s="4"/>
      <c r="I2" s="4"/>
    </row>
    <row r="3" spans="1:15" ht="15.75" hidden="1" customHeight="1" x14ac:dyDescent="0.25">
      <c r="A3" s="44"/>
      <c r="B3" s="45"/>
      <c r="C3" s="45"/>
      <c r="D3" s="402"/>
      <c r="E3" s="402"/>
      <c r="F3" s="402"/>
      <c r="G3" s="4"/>
      <c r="H3" s="4"/>
      <c r="I3" s="4"/>
    </row>
    <row r="4" spans="1:15" ht="15.75" hidden="1" customHeight="1" x14ac:dyDescent="0.25">
      <c r="A4" s="44"/>
      <c r="B4" s="45"/>
      <c r="C4" s="45"/>
      <c r="D4" s="402"/>
      <c r="E4" s="402"/>
      <c r="F4" s="402"/>
      <c r="G4" s="4"/>
      <c r="H4" s="4"/>
      <c r="I4" s="4"/>
    </row>
    <row r="5" spans="1:15" ht="15.75" hidden="1" x14ac:dyDescent="0.25">
      <c r="A5" s="44"/>
      <c r="B5" s="45"/>
      <c r="C5" s="45"/>
      <c r="D5" s="402"/>
      <c r="E5" s="402"/>
      <c r="F5" s="402"/>
      <c r="G5" s="4"/>
      <c r="H5" s="4"/>
      <c r="I5" s="4"/>
    </row>
    <row r="6" spans="1:15" ht="12.75" hidden="1" customHeight="1" x14ac:dyDescent="0.25">
      <c r="A6" s="44"/>
      <c r="B6" s="46"/>
      <c r="C6" s="46"/>
      <c r="D6" s="46"/>
      <c r="E6" s="46"/>
      <c r="F6" s="21"/>
      <c r="G6" s="4"/>
      <c r="H6" s="4"/>
      <c r="I6" s="4"/>
    </row>
    <row r="7" spans="1:15" ht="15.75" hidden="1" customHeight="1" x14ac:dyDescent="0.25">
      <c r="A7" s="44"/>
      <c r="B7" s="46"/>
      <c r="C7" s="51"/>
      <c r="D7" s="46"/>
      <c r="E7" s="46"/>
      <c r="F7" s="21"/>
      <c r="G7" s="4"/>
      <c r="H7" s="4"/>
      <c r="I7" s="4"/>
    </row>
    <row r="8" spans="1:15" hidden="1" x14ac:dyDescent="0.25">
      <c r="A8" s="44"/>
      <c r="B8" s="44"/>
      <c r="C8" s="44"/>
      <c r="D8" s="44"/>
      <c r="E8" s="44"/>
      <c r="F8" s="44"/>
      <c r="J8" s="14"/>
    </row>
    <row r="9" spans="1:15" ht="15.75" hidden="1" x14ac:dyDescent="0.25">
      <c r="A9" s="44"/>
      <c r="B9" s="397"/>
      <c r="C9" s="397"/>
      <c r="D9" s="47"/>
      <c r="E9" s="41"/>
      <c r="F9" s="44"/>
      <c r="J9" s="11"/>
    </row>
    <row r="10" spans="1:15" hidden="1" x14ac:dyDescent="0.25">
      <c r="A10" s="12"/>
      <c r="B10" s="398"/>
      <c r="C10" s="398"/>
      <c r="D10" s="12"/>
      <c r="E10" s="42"/>
      <c r="F10" s="44"/>
      <c r="O10" s="26"/>
    </row>
    <row r="11" spans="1:15" hidden="1" x14ac:dyDescent="0.25">
      <c r="A11" s="12"/>
      <c r="B11" s="398"/>
      <c r="C11" s="398"/>
      <c r="D11" s="12"/>
      <c r="E11" s="42"/>
      <c r="F11" s="44"/>
    </row>
    <row r="12" spans="1:15" ht="14.25" hidden="1" customHeight="1" x14ac:dyDescent="0.25">
      <c r="J12" s="11"/>
    </row>
    <row r="13" spans="1:15" ht="39" customHeight="1" x14ac:dyDescent="0.25">
      <c r="A13" s="39" t="s">
        <v>0</v>
      </c>
      <c r="B13" s="399" t="s">
        <v>1</v>
      </c>
      <c r="C13" s="400"/>
      <c r="D13" s="38" t="s">
        <v>2</v>
      </c>
      <c r="E13" s="38" t="s">
        <v>73</v>
      </c>
      <c r="F13" s="86" t="s">
        <v>74</v>
      </c>
      <c r="G13" s="38" t="s">
        <v>131</v>
      </c>
    </row>
    <row r="14" spans="1:15" ht="28.5" customHeight="1" x14ac:dyDescent="0.25">
      <c r="A14" s="39"/>
      <c r="B14" s="48"/>
      <c r="C14" s="49"/>
      <c r="D14" s="38"/>
      <c r="E14" s="38"/>
      <c r="F14" s="86"/>
      <c r="G14" s="89"/>
      <c r="I14" s="84" t="s">
        <v>129</v>
      </c>
      <c r="J14" s="85">
        <f>sys!C3</f>
        <v>0</v>
      </c>
    </row>
    <row r="15" spans="1:15" x14ac:dyDescent="0.25">
      <c r="A15" s="8">
        <v>1</v>
      </c>
      <c r="B15" s="358" t="s">
        <v>36</v>
      </c>
      <c r="C15" s="358"/>
      <c r="D15" s="358"/>
      <c r="E15" s="23"/>
      <c r="F15" s="87"/>
      <c r="G15" s="1"/>
    </row>
    <row r="16" spans="1:15" x14ac:dyDescent="0.25">
      <c r="A16" s="8">
        <v>2</v>
      </c>
      <c r="B16" s="366" t="s">
        <v>32</v>
      </c>
      <c r="C16" s="368"/>
      <c r="D16" s="28" t="s">
        <v>8</v>
      </c>
      <c r="E16" s="76">
        <v>1115.2416356877325</v>
      </c>
      <c r="F16" s="76">
        <v>0</v>
      </c>
      <c r="G16" s="1">
        <f>E16*(1+$J$14)</f>
        <v>1115.2416356877325</v>
      </c>
    </row>
    <row r="17" spans="1:10" x14ac:dyDescent="0.25">
      <c r="A17" s="8">
        <v>3</v>
      </c>
      <c r="B17" s="358" t="s">
        <v>5</v>
      </c>
      <c r="C17" s="358"/>
      <c r="D17" s="28" t="s">
        <v>8</v>
      </c>
      <c r="E17" s="76">
        <v>743.49442379182153</v>
      </c>
      <c r="F17" s="76">
        <v>371.74721189591077</v>
      </c>
      <c r="G17" s="1">
        <f t="shared" ref="G17:G31" si="0">E17*(1+$J$14)</f>
        <v>743.49442379182153</v>
      </c>
    </row>
    <row r="18" spans="1:10" x14ac:dyDescent="0.25">
      <c r="A18" s="8">
        <v>4</v>
      </c>
      <c r="B18" s="27" t="s">
        <v>45</v>
      </c>
      <c r="C18" s="10" t="s">
        <v>55</v>
      </c>
      <c r="D18" s="28" t="s">
        <v>8</v>
      </c>
      <c r="E18" s="76">
        <v>669.14498141263937</v>
      </c>
      <c r="F18" s="76">
        <v>371.74721189591077</v>
      </c>
      <c r="G18" s="1">
        <f t="shared" si="0"/>
        <v>669.14498141263937</v>
      </c>
    </row>
    <row r="19" spans="1:10" x14ac:dyDescent="0.25">
      <c r="A19" s="8"/>
      <c r="B19" s="27" t="s">
        <v>45</v>
      </c>
      <c r="C19" s="10" t="s">
        <v>262</v>
      </c>
      <c r="D19" s="28" t="s">
        <v>8</v>
      </c>
      <c r="E19" s="76">
        <v>1040.8921933085503</v>
      </c>
      <c r="F19" s="76">
        <v>371.74721189591077</v>
      </c>
      <c r="G19" s="1">
        <f t="shared" si="0"/>
        <v>1040.8921933085503</v>
      </c>
    </row>
    <row r="20" spans="1:10" x14ac:dyDescent="0.25">
      <c r="A20" s="8"/>
      <c r="B20" s="27" t="s">
        <v>45</v>
      </c>
      <c r="C20" s="10" t="s">
        <v>56</v>
      </c>
      <c r="D20" s="28" t="s">
        <v>8</v>
      </c>
      <c r="E20" s="76">
        <v>2081.7843866171006</v>
      </c>
      <c r="F20" s="76">
        <v>743.49442379182153</v>
      </c>
      <c r="G20" s="1">
        <f t="shared" si="0"/>
        <v>2081.7843866171006</v>
      </c>
    </row>
    <row r="21" spans="1:10" x14ac:dyDescent="0.25">
      <c r="A21" s="8"/>
      <c r="B21" s="27" t="s">
        <v>45</v>
      </c>
      <c r="C21" s="10" t="s">
        <v>263</v>
      </c>
      <c r="D21" s="28" t="s">
        <v>8</v>
      </c>
      <c r="E21" s="76">
        <v>2081.7843866171006</v>
      </c>
      <c r="F21" s="76">
        <v>743.49442379182153</v>
      </c>
      <c r="G21" s="1">
        <f t="shared" si="0"/>
        <v>2081.7843866171006</v>
      </c>
    </row>
    <row r="22" spans="1:10" x14ac:dyDescent="0.25">
      <c r="A22" s="8"/>
      <c r="B22" s="27" t="s">
        <v>45</v>
      </c>
      <c r="C22" s="10" t="s">
        <v>57</v>
      </c>
      <c r="D22" s="28" t="s">
        <v>8</v>
      </c>
      <c r="E22" s="76">
        <v>2081.7843866171006</v>
      </c>
      <c r="F22" s="76">
        <v>743.49442379182153</v>
      </c>
      <c r="G22" s="1">
        <f t="shared" si="0"/>
        <v>2081.7843866171006</v>
      </c>
    </row>
    <row r="23" spans="1:10" x14ac:dyDescent="0.25">
      <c r="A23" s="8"/>
      <c r="B23" s="10" t="s">
        <v>46</v>
      </c>
      <c r="C23" s="23" t="s">
        <v>47</v>
      </c>
      <c r="D23" s="8" t="s">
        <v>25</v>
      </c>
      <c r="E23" s="76">
        <v>594.79553903345732</v>
      </c>
      <c r="F23" s="76">
        <v>148.69888475836433</v>
      </c>
      <c r="G23" s="1">
        <f t="shared" si="0"/>
        <v>594.79553903345732</v>
      </c>
    </row>
    <row r="24" spans="1:10" x14ac:dyDescent="0.25">
      <c r="A24" s="8">
        <v>5</v>
      </c>
      <c r="B24" s="10" t="s">
        <v>46</v>
      </c>
      <c r="C24" s="27" t="s">
        <v>48</v>
      </c>
      <c r="D24" s="8" t="s">
        <v>25</v>
      </c>
      <c r="E24" s="76">
        <v>1338.2899628252787</v>
      </c>
      <c r="F24" s="76">
        <v>371.74721189591077</v>
      </c>
      <c r="G24" s="1">
        <f t="shared" si="0"/>
        <v>1338.2899628252787</v>
      </c>
    </row>
    <row r="25" spans="1:10" x14ac:dyDescent="0.25">
      <c r="A25" s="8">
        <v>6</v>
      </c>
      <c r="B25" s="27" t="s">
        <v>42</v>
      </c>
      <c r="C25" s="27" t="s">
        <v>49</v>
      </c>
      <c r="D25" s="8" t="s">
        <v>25</v>
      </c>
      <c r="E25" s="76">
        <v>0</v>
      </c>
      <c r="F25" s="76">
        <v>0</v>
      </c>
      <c r="G25" s="1">
        <f t="shared" si="0"/>
        <v>0</v>
      </c>
      <c r="I25" s="457"/>
      <c r="J25" s="76"/>
    </row>
    <row r="26" spans="1:10" x14ac:dyDescent="0.25">
      <c r="A26" s="8"/>
      <c r="B26" s="27" t="s">
        <v>42</v>
      </c>
      <c r="C26" s="27" t="s">
        <v>50</v>
      </c>
      <c r="D26" s="8" t="s">
        <v>25</v>
      </c>
      <c r="E26" s="76">
        <v>594.79553903345732</v>
      </c>
      <c r="F26" s="76">
        <v>223.04832713754647</v>
      </c>
      <c r="G26" s="1">
        <f t="shared" si="0"/>
        <v>594.79553903345732</v>
      </c>
    </row>
    <row r="27" spans="1:10" x14ac:dyDescent="0.25">
      <c r="A27" s="8"/>
      <c r="B27" s="27" t="s">
        <v>42</v>
      </c>
      <c r="C27" s="27" t="s">
        <v>51</v>
      </c>
      <c r="D27" s="8" t="s">
        <v>25</v>
      </c>
      <c r="E27" s="76">
        <v>1338.2899628252787</v>
      </c>
      <c r="F27" s="76">
        <v>371.74721189591077</v>
      </c>
      <c r="G27" s="1">
        <f t="shared" si="0"/>
        <v>1338.2899628252787</v>
      </c>
    </row>
    <row r="28" spans="1:10" x14ac:dyDescent="0.25">
      <c r="A28" s="8">
        <v>7</v>
      </c>
      <c r="B28" s="358" t="s">
        <v>44</v>
      </c>
      <c r="C28" s="358"/>
      <c r="D28" s="8" t="s">
        <v>25</v>
      </c>
      <c r="E28" s="76" t="s">
        <v>118</v>
      </c>
      <c r="F28" s="76" t="s">
        <v>118</v>
      </c>
      <c r="G28" s="76" t="s">
        <v>118</v>
      </c>
    </row>
    <row r="29" spans="1:10" x14ac:dyDescent="0.25">
      <c r="A29" s="8">
        <v>8</v>
      </c>
      <c r="B29" s="358" t="s">
        <v>75</v>
      </c>
      <c r="C29" s="358"/>
      <c r="D29" s="8" t="s">
        <v>143</v>
      </c>
      <c r="E29" s="76">
        <v>4035</v>
      </c>
      <c r="F29" s="76">
        <v>1345</v>
      </c>
      <c r="G29" s="1">
        <f t="shared" si="0"/>
        <v>4035</v>
      </c>
    </row>
    <row r="30" spans="1:10" x14ac:dyDescent="0.25">
      <c r="A30" s="8">
        <v>9</v>
      </c>
      <c r="B30" s="358" t="s">
        <v>6</v>
      </c>
      <c r="C30" s="358"/>
      <c r="D30" s="8" t="s">
        <v>8</v>
      </c>
      <c r="E30" s="76">
        <v>2152</v>
      </c>
      <c r="F30" s="76">
        <v>1345</v>
      </c>
      <c r="G30" s="1">
        <f t="shared" si="0"/>
        <v>2152</v>
      </c>
    </row>
    <row r="31" spans="1:10" s="52" customFormat="1" x14ac:dyDescent="0.25">
      <c r="A31" s="8"/>
      <c r="B31" s="358" t="s">
        <v>82</v>
      </c>
      <c r="C31" s="358"/>
      <c r="D31" s="8"/>
      <c r="E31" s="76">
        <v>2152</v>
      </c>
      <c r="F31" s="76">
        <v>672.5</v>
      </c>
      <c r="G31" s="1">
        <f t="shared" si="0"/>
        <v>2152</v>
      </c>
    </row>
    <row r="32" spans="1:10" x14ac:dyDescent="0.25">
      <c r="A32" s="8">
        <v>10</v>
      </c>
      <c r="B32" s="358" t="s">
        <v>72</v>
      </c>
      <c r="C32" s="358"/>
      <c r="D32" s="8" t="s">
        <v>8</v>
      </c>
      <c r="E32" s="40"/>
      <c r="F32" s="76">
        <v>3362.5</v>
      </c>
      <c r="G32" s="1"/>
    </row>
    <row r="33" spans="1:7" x14ac:dyDescent="0.25">
      <c r="A33" s="8">
        <v>11</v>
      </c>
      <c r="B33" s="394" t="s">
        <v>43</v>
      </c>
      <c r="C33" s="394"/>
      <c r="D33" s="24" t="s">
        <v>8</v>
      </c>
      <c r="E33" s="76" t="s">
        <v>118</v>
      </c>
      <c r="F33" s="76" t="s">
        <v>118</v>
      </c>
      <c r="G33" s="76" t="s">
        <v>118</v>
      </c>
    </row>
    <row r="34" spans="1:7" x14ac:dyDescent="0.25">
      <c r="A34" s="8">
        <v>12</v>
      </c>
      <c r="B34" s="394" t="s">
        <v>33</v>
      </c>
      <c r="C34" s="394"/>
      <c r="D34" s="24" t="s">
        <v>8</v>
      </c>
      <c r="E34" s="76">
        <v>269</v>
      </c>
      <c r="F34" s="76">
        <v>67.25</v>
      </c>
      <c r="G34" s="1">
        <f t="shared" ref="G34:G38" si="1">E34*(1+$J$14)</f>
        <v>269</v>
      </c>
    </row>
    <row r="35" spans="1:7" x14ac:dyDescent="0.25">
      <c r="A35" s="8">
        <v>13</v>
      </c>
      <c r="B35" s="394" t="s">
        <v>53</v>
      </c>
      <c r="C35" s="394"/>
      <c r="D35" s="24" t="s">
        <v>8</v>
      </c>
      <c r="E35" s="76">
        <v>5380</v>
      </c>
      <c r="F35" s="76">
        <v>4035</v>
      </c>
      <c r="G35" s="1">
        <f t="shared" si="1"/>
        <v>5380</v>
      </c>
    </row>
    <row r="36" spans="1:7" x14ac:dyDescent="0.25">
      <c r="A36" s="8">
        <v>14</v>
      </c>
      <c r="B36" s="394" t="s">
        <v>76</v>
      </c>
      <c r="C36" s="394"/>
      <c r="D36" s="24" t="s">
        <v>8</v>
      </c>
      <c r="E36" s="76">
        <v>4035</v>
      </c>
      <c r="F36" s="76">
        <v>2017.5</v>
      </c>
      <c r="G36" s="1">
        <f t="shared" si="1"/>
        <v>4035</v>
      </c>
    </row>
    <row r="37" spans="1:7" s="52" customFormat="1" x14ac:dyDescent="0.25">
      <c r="A37" s="8">
        <v>15</v>
      </c>
      <c r="B37" s="395" t="s">
        <v>261</v>
      </c>
      <c r="C37" s="396"/>
      <c r="D37" s="24" t="s">
        <v>8</v>
      </c>
      <c r="E37" s="76">
        <v>2690</v>
      </c>
      <c r="F37" s="76">
        <v>1345</v>
      </c>
      <c r="G37" s="1">
        <f t="shared" si="1"/>
        <v>2690</v>
      </c>
    </row>
    <row r="38" spans="1:7" s="52" customFormat="1" x14ac:dyDescent="0.25">
      <c r="A38" s="8">
        <v>16</v>
      </c>
      <c r="B38" s="395" t="s">
        <v>257</v>
      </c>
      <c r="C38" s="396"/>
      <c r="D38" s="24"/>
      <c r="E38" s="76">
        <v>807</v>
      </c>
      <c r="F38" s="76">
        <v>672.5</v>
      </c>
      <c r="G38" s="1">
        <f t="shared" si="1"/>
        <v>807</v>
      </c>
    </row>
    <row r="39" spans="1:7" s="52" customFormat="1" x14ac:dyDescent="0.25">
      <c r="A39" s="8">
        <v>17</v>
      </c>
      <c r="B39" s="395" t="s">
        <v>258</v>
      </c>
      <c r="C39" s="396"/>
      <c r="D39" s="24"/>
      <c r="E39" s="76">
        <v>0</v>
      </c>
      <c r="F39" s="76">
        <f>(E39)*1.345</f>
        <v>0</v>
      </c>
      <c r="G39" s="1"/>
    </row>
    <row r="40" spans="1:7" x14ac:dyDescent="0.25">
      <c r="A40" s="8">
        <v>18</v>
      </c>
      <c r="B40" s="394" t="s">
        <v>52</v>
      </c>
      <c r="C40" s="394"/>
      <c r="D40" s="24" t="s">
        <v>8</v>
      </c>
      <c r="E40" s="76">
        <v>0</v>
      </c>
      <c r="F40" s="76">
        <f>(E40)*1.345</f>
        <v>0</v>
      </c>
      <c r="G40" s="1"/>
    </row>
    <row r="41" spans="1:7" x14ac:dyDescent="0.25">
      <c r="A41" s="7"/>
      <c r="B41" s="7"/>
      <c r="C41" s="7"/>
      <c r="E41" s="50" t="s">
        <v>7</v>
      </c>
      <c r="F41" s="88"/>
      <c r="G41" s="1"/>
    </row>
    <row r="44" spans="1:7" x14ac:dyDescent="0.25">
      <c r="C44" s="52"/>
    </row>
    <row r="45" spans="1:7" x14ac:dyDescent="0.25">
      <c r="C45" s="52"/>
    </row>
    <row r="46" spans="1:7" x14ac:dyDescent="0.25">
      <c r="C46" s="52"/>
    </row>
    <row r="47" spans="1:7" x14ac:dyDescent="0.25">
      <c r="C47" s="52"/>
    </row>
    <row r="48" spans="1:7" x14ac:dyDescent="0.25">
      <c r="C48" s="52"/>
    </row>
    <row r="49" spans="3:4" x14ac:dyDescent="0.25">
      <c r="C49" s="52"/>
    </row>
    <row r="50" spans="3:4" x14ac:dyDescent="0.25">
      <c r="C50" s="52"/>
    </row>
    <row r="51" spans="3:4" x14ac:dyDescent="0.25">
      <c r="C51" s="52"/>
      <c r="D51" s="61"/>
    </row>
    <row r="52" spans="3:4" x14ac:dyDescent="0.25">
      <c r="C52" s="52"/>
      <c r="D52" s="61"/>
    </row>
  </sheetData>
  <mergeCells count="25">
    <mergeCell ref="B1:F1"/>
    <mergeCell ref="A2:F2"/>
    <mergeCell ref="D3:F3"/>
    <mergeCell ref="D4:F4"/>
    <mergeCell ref="D5:F5"/>
    <mergeCell ref="B17:C17"/>
    <mergeCell ref="B28:C28"/>
    <mergeCell ref="B29:C29"/>
    <mergeCell ref="B9:C9"/>
    <mergeCell ref="B10:C10"/>
    <mergeCell ref="B11:C11"/>
    <mergeCell ref="B13:C13"/>
    <mergeCell ref="B15:D15"/>
    <mergeCell ref="B16:C16"/>
    <mergeCell ref="B40:C40"/>
    <mergeCell ref="B30:C30"/>
    <mergeCell ref="B32:C32"/>
    <mergeCell ref="B33:C33"/>
    <mergeCell ref="B34:C34"/>
    <mergeCell ref="B35:C35"/>
    <mergeCell ref="B36:C36"/>
    <mergeCell ref="B31:C31"/>
    <mergeCell ref="B37:C37"/>
    <mergeCell ref="B38:C38"/>
    <mergeCell ref="B39:C39"/>
  </mergeCells>
  <dataValidations disablePrompts="1" count="1">
    <dataValidation type="list" allowBlank="1" showInputMessage="1" showErrorMessage="1" sqref="C7">
      <formula1>Материал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portrait" horizontalDpi="180" verticalDpi="18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10"/>
  <sheetViews>
    <sheetView workbookViewId="0">
      <selection activeCell="D2" sqref="D2"/>
    </sheetView>
  </sheetViews>
  <sheetFormatPr defaultColWidth="8.85546875" defaultRowHeight="15" x14ac:dyDescent="0.25"/>
  <cols>
    <col min="1" max="1" width="19.42578125" customWidth="1"/>
    <col min="2" max="2" width="15.85546875" customWidth="1"/>
    <col min="3" max="4" width="10.42578125" customWidth="1"/>
    <col min="5" max="5" width="36" customWidth="1"/>
  </cols>
  <sheetData>
    <row r="1" spans="1:5" x14ac:dyDescent="0.25">
      <c r="A1" t="s">
        <v>46</v>
      </c>
      <c r="B1" t="s">
        <v>54</v>
      </c>
      <c r="C1" t="s">
        <v>44</v>
      </c>
      <c r="D1" t="s">
        <v>42</v>
      </c>
      <c r="E1" t="s">
        <v>58</v>
      </c>
    </row>
    <row r="2" spans="1:5" x14ac:dyDescent="0.25">
      <c r="A2" t="s">
        <v>47</v>
      </c>
      <c r="B2" t="s">
        <v>49</v>
      </c>
      <c r="C2" s="53">
        <v>40</v>
      </c>
      <c r="D2" s="53">
        <v>40</v>
      </c>
      <c r="E2" s="52" t="s">
        <v>262</v>
      </c>
    </row>
    <row r="3" spans="1:5" x14ac:dyDescent="0.25">
      <c r="A3" t="s">
        <v>48</v>
      </c>
      <c r="B3" t="s">
        <v>50</v>
      </c>
      <c r="C3" s="53">
        <v>50</v>
      </c>
      <c r="D3" s="53">
        <v>50</v>
      </c>
      <c r="E3" t="s">
        <v>56</v>
      </c>
    </row>
    <row r="4" spans="1:5" x14ac:dyDescent="0.25">
      <c r="B4" t="s">
        <v>51</v>
      </c>
      <c r="C4" s="53">
        <v>60</v>
      </c>
      <c r="D4" s="53">
        <v>60</v>
      </c>
      <c r="E4" s="52" t="s">
        <v>263</v>
      </c>
    </row>
    <row r="5" spans="1:5" x14ac:dyDescent="0.25">
      <c r="C5" s="53">
        <v>70</v>
      </c>
      <c r="D5" s="53">
        <v>70</v>
      </c>
      <c r="E5" t="s">
        <v>57</v>
      </c>
    </row>
    <row r="6" spans="1:5" x14ac:dyDescent="0.25">
      <c r="C6" s="53">
        <v>80</v>
      </c>
      <c r="D6" s="53">
        <v>80</v>
      </c>
    </row>
    <row r="7" spans="1:5" x14ac:dyDescent="0.25">
      <c r="C7" s="53">
        <v>90</v>
      </c>
      <c r="D7" s="53">
        <v>90</v>
      </c>
    </row>
    <row r="8" spans="1:5" x14ac:dyDescent="0.25">
      <c r="C8" s="53">
        <v>100</v>
      </c>
      <c r="D8" s="53">
        <v>100</v>
      </c>
    </row>
    <row r="10" spans="1:5" x14ac:dyDescent="0.25">
      <c r="D10" s="5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R70"/>
  <sheetViews>
    <sheetView workbookViewId="0">
      <selection activeCell="I1" sqref="I1"/>
    </sheetView>
  </sheetViews>
  <sheetFormatPr defaultColWidth="8.85546875" defaultRowHeight="15" x14ac:dyDescent="0.25"/>
  <cols>
    <col min="1" max="1" width="28.42578125" style="52" customWidth="1"/>
    <col min="2" max="15" width="7.28515625" style="52" customWidth="1"/>
    <col min="16" max="16" width="7.140625" style="52" customWidth="1"/>
    <col min="17" max="16384" width="8.85546875" style="52"/>
  </cols>
  <sheetData>
    <row r="1" spans="1:18" ht="101.25" customHeight="1" x14ac:dyDescent="0.25">
      <c r="A1" s="1"/>
      <c r="B1" s="55" t="s">
        <v>86</v>
      </c>
      <c r="C1" s="55" t="s">
        <v>87</v>
      </c>
      <c r="D1" s="55" t="s">
        <v>88</v>
      </c>
      <c r="E1" s="55" t="s">
        <v>89</v>
      </c>
      <c r="F1" s="55" t="s">
        <v>90</v>
      </c>
      <c r="G1" s="55" t="s">
        <v>91</v>
      </c>
      <c r="H1" s="55" t="s">
        <v>92</v>
      </c>
      <c r="I1" s="55" t="s">
        <v>93</v>
      </c>
      <c r="J1" s="55" t="s">
        <v>94</v>
      </c>
      <c r="K1" s="55" t="s">
        <v>95</v>
      </c>
      <c r="L1" s="55" t="s">
        <v>96</v>
      </c>
      <c r="M1" s="55" t="s">
        <v>97</v>
      </c>
      <c r="N1" s="55" t="s">
        <v>98</v>
      </c>
      <c r="O1" s="55" t="s">
        <v>99</v>
      </c>
      <c r="P1" s="55" t="s">
        <v>100</v>
      </c>
    </row>
    <row r="2" spans="1:18" x14ac:dyDescent="0.25">
      <c r="A2" s="1" t="s">
        <v>10</v>
      </c>
      <c r="B2" s="1">
        <f>((VLOOKUP($A2,Материал!$A$3:$J$68,3,FALSE))*B$69)+B$70</f>
        <v>7353.9012738853507</v>
      </c>
      <c r="C2" s="1">
        <f>((VLOOKUP($A2,Материал!$A$3:$J$68,3,FALSE))*C$69)+C$70</f>
        <v>7389.2914012738856</v>
      </c>
      <c r="D2" s="1">
        <f>((VLOOKUP($A2,Материал!$A$3:$J$68,3,FALSE))*D$69)+D$70</f>
        <v>7424.6815286624205</v>
      </c>
      <c r="E2" s="1">
        <f>((VLOOKUP($A2,Материал!$A$3:$J$68,3,FALSE))*E$69)+E$70</f>
        <v>7460.0716560509554</v>
      </c>
      <c r="F2" s="1">
        <f>((VLOOKUP($A2,Материал!$A$3:$J$68,3,FALSE))*F$69)+F$70</f>
        <v>7495.4617834394903</v>
      </c>
      <c r="G2" s="1">
        <f>((VLOOKUP($A2,Материал!$A$3:$J$68,3,FALSE))*G$69)+G$70</f>
        <v>7460.0716560509554</v>
      </c>
      <c r="H2" s="1">
        <f>((VLOOKUP($A2,Материал!$A$3:$J$68,3,FALSE))*H$69)+H$70</f>
        <v>14884.753184713376</v>
      </c>
      <c r="I2" s="1">
        <f>((VLOOKUP($A2,Материал!$A$3:$J$68,3,FALSE))*I$69)+I$70</f>
        <v>14920.143312101911</v>
      </c>
      <c r="J2" s="1">
        <f>((VLOOKUP($A2,Материал!$A$3:$J$68,3,FALSE))*J$69)+J$70</f>
        <v>14920.143312101911</v>
      </c>
      <c r="K2" s="1">
        <f>((VLOOKUP($A2,Материал!$A$3:$J$68,3,FALSE))*K$69)+K$70</f>
        <v>14849.363057324841</v>
      </c>
      <c r="L2" s="1">
        <f>((VLOOKUP($A2,Материал!$A$3:$J$68,3,FALSE))*L$69)+L$70</f>
        <v>14990.923566878981</v>
      </c>
      <c r="M2" s="1">
        <f>((VLOOKUP($A2,Материал!$A$3:$J$68,3,FALSE))*M$69)+M$70</f>
        <v>7297.2770700636938</v>
      </c>
      <c r="N2" s="1">
        <f>((VLOOKUP($A2,Материал!$A$3:$J$68,3,FALSE))*N$69)+N$70</f>
        <v>7297.2770700636938</v>
      </c>
      <c r="O2" s="1">
        <f>((VLOOKUP($A2,Материал!$A$3:$J$68,3,FALSE))*O$69)+O$70</f>
        <v>7297.2770700636938</v>
      </c>
      <c r="P2" s="28">
        <v>0</v>
      </c>
      <c r="R2" s="44"/>
    </row>
    <row r="3" spans="1:18" x14ac:dyDescent="0.25">
      <c r="A3" s="1" t="s">
        <v>11</v>
      </c>
      <c r="B3" s="1">
        <f>((VLOOKUP($A3,Материал!$A$3:$J$68,3,FALSE))*B$69)+B$70</f>
        <v>7404.0605095541405</v>
      </c>
      <c r="C3" s="1">
        <f>((VLOOKUP($A3,Материал!$A$3:$J$68,3,FALSE))*C$69)+C$70</f>
        <v>7444.4665605095543</v>
      </c>
      <c r="D3" s="1">
        <f>((VLOOKUP($A3,Материал!$A$3:$J$68,3,FALSE))*D$69)+D$70</f>
        <v>7484.872611464968</v>
      </c>
      <c r="E3" s="1">
        <f>((VLOOKUP($A3,Материал!$A$3:$J$68,3,FALSE))*E$69)+E$70</f>
        <v>7525.2786624203818</v>
      </c>
      <c r="F3" s="1">
        <f>((VLOOKUP($A3,Материал!$A$3:$J$68,3,FALSE))*F$69)+F$70</f>
        <v>7565.6847133757965</v>
      </c>
      <c r="G3" s="1">
        <f>((VLOOKUP($A3,Материал!$A$3:$J$68,3,FALSE))*G$69)+G$70</f>
        <v>7525.2786624203818</v>
      </c>
      <c r="H3" s="1">
        <f>((VLOOKUP($A3,Материал!$A$3:$J$68,3,FALSE))*H$69)+H$70</f>
        <v>15010.151273885351</v>
      </c>
      <c r="I3" s="1">
        <f>((VLOOKUP($A3,Материал!$A$3:$J$68,3,FALSE))*I$69)+I$70</f>
        <v>15050.557324840764</v>
      </c>
      <c r="J3" s="1">
        <f>((VLOOKUP($A3,Материал!$A$3:$J$68,3,FALSE))*J$69)+J$70</f>
        <v>15050.557324840764</v>
      </c>
      <c r="K3" s="1">
        <f>((VLOOKUP($A3,Материал!$A$3:$J$68,3,FALSE))*K$69)+K$70</f>
        <v>14969.745222929936</v>
      </c>
      <c r="L3" s="1">
        <f>((VLOOKUP($A3,Материал!$A$3:$J$68,3,FALSE))*L$69)+L$70</f>
        <v>15131.369426751593</v>
      </c>
      <c r="M3" s="1">
        <f>((VLOOKUP($A3,Материал!$A$3:$J$68,3,FALSE))*M$69)+M$70</f>
        <v>7339.4108280254777</v>
      </c>
      <c r="N3" s="1">
        <f>((VLOOKUP($A3,Материал!$A$3:$J$68,3,FALSE))*N$69)+N$70</f>
        <v>7339.4108280254777</v>
      </c>
      <c r="O3" s="1">
        <f>((VLOOKUP($A3,Материал!$A$3:$J$68,3,FALSE))*O$69)+O$70</f>
        <v>7339.4108280254777</v>
      </c>
      <c r="P3" s="28">
        <v>0</v>
      </c>
    </row>
    <row r="4" spans="1:18" x14ac:dyDescent="0.25">
      <c r="A4" s="1" t="s">
        <v>12</v>
      </c>
      <c r="B4" s="1">
        <f>((VLOOKUP($A4,Материал!$A$3:$J$68,3,FALSE))*B$69)+B$70</f>
        <v>7443.0732484076434</v>
      </c>
      <c r="C4" s="1">
        <f>((VLOOKUP($A4,Материал!$A$3:$J$68,3,FALSE))*C$69)+C$70</f>
        <v>7487.3805732484079</v>
      </c>
      <c r="D4" s="1">
        <f>((VLOOKUP($A4,Материал!$A$3:$J$68,3,FALSE))*D$69)+D$70</f>
        <v>7531.6878980891715</v>
      </c>
      <c r="E4" s="1">
        <f>((VLOOKUP($A4,Материал!$A$3:$J$68,3,FALSE))*E$69)+E$70</f>
        <v>7575.9952229299361</v>
      </c>
      <c r="F4" s="1">
        <f>((VLOOKUP($A4,Материал!$A$3:$J$68,3,FALSE))*F$69)+F$70</f>
        <v>7620.3025477707006</v>
      </c>
      <c r="G4" s="1">
        <f>((VLOOKUP($A4,Материал!$A$3:$J$68,3,FALSE))*G$69)+G$70</f>
        <v>7575.9952229299361</v>
      </c>
      <c r="H4" s="1">
        <f>((VLOOKUP($A4,Материал!$A$3:$J$68,3,FALSE))*H$69)+H$70</f>
        <v>15107.683121019109</v>
      </c>
      <c r="I4" s="1">
        <f>((VLOOKUP($A4,Материал!$A$3:$J$68,3,FALSE))*I$69)+I$70</f>
        <v>15151.990445859872</v>
      </c>
      <c r="J4" s="1">
        <f>((VLOOKUP($A4,Материал!$A$3:$J$68,3,FALSE))*J$69)+J$70</f>
        <v>15151.990445859872</v>
      </c>
      <c r="K4" s="1">
        <f>((VLOOKUP($A4,Материал!$A$3:$J$68,3,FALSE))*K$69)+K$70</f>
        <v>15063.375796178343</v>
      </c>
      <c r="L4" s="1">
        <f>((VLOOKUP($A4,Материал!$A$3:$J$68,3,FALSE))*L$69)+L$70</f>
        <v>15240.605095541401</v>
      </c>
      <c r="M4" s="1">
        <f>((VLOOKUP($A4,Материал!$A$3:$J$68,3,FALSE))*M$69)+M$70</f>
        <v>7372.1815286624205</v>
      </c>
      <c r="N4" s="1">
        <f>((VLOOKUP($A4,Материал!$A$3:$J$68,3,FALSE))*N$69)+N$70</f>
        <v>7372.1815286624205</v>
      </c>
      <c r="O4" s="1">
        <f>((VLOOKUP($A4,Материал!$A$3:$J$68,3,FALSE))*O$69)+O$70</f>
        <v>7372.1815286624205</v>
      </c>
      <c r="P4" s="28">
        <v>0</v>
      </c>
    </row>
    <row r="5" spans="1:18" x14ac:dyDescent="0.25">
      <c r="A5" s="1" t="s">
        <v>13</v>
      </c>
      <c r="B5" s="1">
        <f>((VLOOKUP($A5,Материал!$A$3:$J$68,3,FALSE))*B$69)+B$70</f>
        <v>7484.872611464968</v>
      </c>
      <c r="C5" s="1">
        <f>((VLOOKUP($A5,Материал!$A$3:$J$68,3,FALSE))*C$69)+C$70</f>
        <v>7533.3598726114651</v>
      </c>
      <c r="D5" s="1">
        <f>((VLOOKUP($A5,Материал!$A$3:$J$68,3,FALSE))*D$69)+D$70</f>
        <v>7581.8471337579613</v>
      </c>
      <c r="E5" s="1">
        <f>((VLOOKUP($A5,Материал!$A$3:$J$68,3,FALSE))*E$69)+E$70</f>
        <v>7630.3343949044583</v>
      </c>
      <c r="F5" s="1">
        <f>((VLOOKUP($A5,Материал!$A$3:$J$68,3,FALSE))*F$69)+F$70</f>
        <v>7678.8216560509554</v>
      </c>
      <c r="G5" s="1">
        <f>((VLOOKUP($A5,Материал!$A$3:$J$68,3,FALSE))*G$69)+G$70</f>
        <v>7630.3343949044583</v>
      </c>
      <c r="H5" s="1">
        <f>((VLOOKUP($A5,Материал!$A$3:$J$68,3,FALSE))*H$69)+H$70</f>
        <v>15212.181528662421</v>
      </c>
      <c r="I5" s="1">
        <f>((VLOOKUP($A5,Материал!$A$3:$J$68,3,FALSE))*I$69)+I$70</f>
        <v>15260.668789808917</v>
      </c>
      <c r="J5" s="1">
        <f>((VLOOKUP($A5,Материал!$A$3:$J$68,3,FALSE))*J$69)+J$70</f>
        <v>15260.668789808917</v>
      </c>
      <c r="K5" s="1">
        <f>((VLOOKUP($A5,Материал!$A$3:$J$68,3,FALSE))*K$69)+K$70</f>
        <v>15163.694267515923</v>
      </c>
      <c r="L5" s="1">
        <f>((VLOOKUP($A5,Материал!$A$3:$J$68,3,FALSE))*L$69)+L$70</f>
        <v>15357.643312101911</v>
      </c>
      <c r="M5" s="1">
        <f>((VLOOKUP($A5,Материал!$A$3:$J$68,3,FALSE))*M$69)+M$70</f>
        <v>7407.2929936305736</v>
      </c>
      <c r="N5" s="1">
        <f>((VLOOKUP($A5,Материал!$A$3:$J$68,3,FALSE))*N$69)+N$70</f>
        <v>7407.2929936305736</v>
      </c>
      <c r="O5" s="1">
        <f>((VLOOKUP($A5,Материал!$A$3:$J$68,3,FALSE))*O$69)+O$70</f>
        <v>7407.2929936305736</v>
      </c>
      <c r="P5" s="28">
        <v>0</v>
      </c>
      <c r="R5" s="44"/>
    </row>
    <row r="6" spans="1:18" x14ac:dyDescent="0.25">
      <c r="A6" s="6" t="s">
        <v>151</v>
      </c>
      <c r="B6" s="1">
        <f>((VLOOKUP($A6,Материал!$A$3:$J$68,3,FALSE))*B$69)+B$70</f>
        <v>7345.5414012738856</v>
      </c>
      <c r="C6" s="1">
        <f>((VLOOKUP($A6,Материал!$A$3:$J$68,3,FALSE))*C$69)+C$70</f>
        <v>7380.0955414012742</v>
      </c>
      <c r="D6" s="1">
        <f>((VLOOKUP($A6,Материал!$A$3:$J$68,3,FALSE))*D$69)+D$70</f>
        <v>7414.6496815286628</v>
      </c>
      <c r="E6" s="1">
        <f>((VLOOKUP($A6,Материал!$A$3:$J$68,3,FALSE))*E$69)+E$70</f>
        <v>7449.2038216560504</v>
      </c>
      <c r="F6" s="1">
        <f>((VLOOKUP($A6,Материал!$A$3:$J$68,3,FALSE))*F$69)+F$70</f>
        <v>7483.757961783439</v>
      </c>
      <c r="G6" s="1">
        <f>((VLOOKUP($A6,Материал!$A$3:$J$68,3,FALSE))*G$69)+G$70</f>
        <v>7449.2038216560504</v>
      </c>
      <c r="H6" s="1">
        <f>((VLOOKUP($A6,Материал!$A$3:$J$68,3,FALSE))*H$69)+H$70</f>
        <v>14863.853503184713</v>
      </c>
      <c r="I6" s="1">
        <f>((VLOOKUP($A6,Материал!$A$3:$J$68,3,FALSE))*I$69)+I$70</f>
        <v>14898.407643312101</v>
      </c>
      <c r="J6" s="1">
        <f>((VLOOKUP($A6,Материал!$A$3:$J$68,3,FALSE))*J$69)+J$70</f>
        <v>14898.407643312101</v>
      </c>
      <c r="K6" s="1">
        <f>((VLOOKUP($A6,Материал!$A$3:$J$68,3,FALSE))*K$69)+K$70</f>
        <v>14829.299363057326</v>
      </c>
      <c r="L6" s="1">
        <f>((VLOOKUP($A6,Материал!$A$3:$J$68,3,FALSE))*L$69)+L$70</f>
        <v>14967.515923566878</v>
      </c>
      <c r="M6" s="1">
        <f>((VLOOKUP($A6,Материал!$A$3:$J$68,3,FALSE))*M$69)+M$70</f>
        <v>7290.2547770700639</v>
      </c>
      <c r="N6" s="1">
        <f>((VLOOKUP($A6,Материал!$A$3:$J$68,3,FALSE))*N$69)+N$70</f>
        <v>7290.2547770700639</v>
      </c>
      <c r="O6" s="1">
        <f>((VLOOKUP($A6,Материал!$A$3:$J$68,3,FALSE))*O$69)+O$70</f>
        <v>7290.2547770700639</v>
      </c>
      <c r="P6" s="28">
        <v>0</v>
      </c>
    </row>
    <row r="7" spans="1:18" x14ac:dyDescent="0.25">
      <c r="A7" s="36" t="s">
        <v>147</v>
      </c>
      <c r="B7" s="1">
        <f>((VLOOKUP($A7,Материал!$A$3:$J$68,3,FALSE))*B$69)+B$70</f>
        <v>7345.5414012738856</v>
      </c>
      <c r="C7" s="1">
        <f>((VLOOKUP($A7,Материал!$A$3:$J$68,3,FALSE))*C$69)+C$70</f>
        <v>7380.0955414012742</v>
      </c>
      <c r="D7" s="1">
        <f>((VLOOKUP($A7,Материал!$A$3:$J$68,3,FALSE))*D$69)+D$70</f>
        <v>7414.6496815286628</v>
      </c>
      <c r="E7" s="1">
        <f>((VLOOKUP($A7,Материал!$A$3:$J$68,3,FALSE))*E$69)+E$70</f>
        <v>7449.2038216560504</v>
      </c>
      <c r="F7" s="1">
        <f>((VLOOKUP($A7,Материал!$A$3:$J$68,3,FALSE))*F$69)+F$70</f>
        <v>7483.757961783439</v>
      </c>
      <c r="G7" s="1">
        <f>((VLOOKUP($A7,Материал!$A$3:$J$68,3,FALSE))*G$69)+G$70</f>
        <v>7449.2038216560504</v>
      </c>
      <c r="H7" s="1">
        <f>((VLOOKUP($A7,Материал!$A$3:$J$68,3,FALSE))*H$69)+H$70</f>
        <v>14863.853503184713</v>
      </c>
      <c r="I7" s="1">
        <f>((VLOOKUP($A7,Материал!$A$3:$J$68,3,FALSE))*I$69)+I$70</f>
        <v>14898.407643312101</v>
      </c>
      <c r="J7" s="1">
        <f>((VLOOKUP($A7,Материал!$A$3:$J$68,3,FALSE))*J$69)+J$70</f>
        <v>14898.407643312101</v>
      </c>
      <c r="K7" s="1">
        <f>((VLOOKUP($A7,Материал!$A$3:$J$68,3,FALSE))*K$69)+K$70</f>
        <v>14829.299363057326</v>
      </c>
      <c r="L7" s="1">
        <f>((VLOOKUP($A7,Материал!$A$3:$J$68,3,FALSE))*L$69)+L$70</f>
        <v>14967.515923566878</v>
      </c>
      <c r="M7" s="1">
        <f>((VLOOKUP($A7,Материал!$A$3:$J$68,3,FALSE))*M$69)+M$70</f>
        <v>7290.2547770700639</v>
      </c>
      <c r="N7" s="1">
        <f>((VLOOKUP($A7,Материал!$A$3:$J$68,3,FALSE))*N$69)+N$70</f>
        <v>7290.2547770700639</v>
      </c>
      <c r="O7" s="1">
        <f>((VLOOKUP($A7,Материал!$A$3:$J$68,3,FALSE))*O$69)+O$70</f>
        <v>7290.2547770700639</v>
      </c>
      <c r="P7" s="28">
        <v>0</v>
      </c>
    </row>
    <row r="8" spans="1:18" x14ac:dyDescent="0.25">
      <c r="A8" s="36" t="s">
        <v>148</v>
      </c>
      <c r="B8" s="1">
        <f>((VLOOKUP($A8,Материал!$A$3:$J$68,3,FALSE))*B$69)+B$70</f>
        <v>7373.4076433121018</v>
      </c>
      <c r="C8" s="1">
        <f>((VLOOKUP($A8,Материал!$A$3:$J$68,3,FALSE))*C$69)+C$70</f>
        <v>7410.748407643312</v>
      </c>
      <c r="D8" s="1">
        <f>((VLOOKUP($A8,Материал!$A$3:$J$68,3,FALSE))*D$69)+D$70</f>
        <v>7448.0891719745223</v>
      </c>
      <c r="E8" s="1">
        <f>((VLOOKUP($A8,Материал!$A$3:$J$68,3,FALSE))*E$69)+E$70</f>
        <v>7485.4299363057326</v>
      </c>
      <c r="F8" s="1">
        <f>((VLOOKUP($A8,Материал!$A$3:$J$68,3,FALSE))*F$69)+F$70</f>
        <v>7522.7707006369428</v>
      </c>
      <c r="G8" s="1">
        <f>((VLOOKUP($A8,Материал!$A$3:$J$68,3,FALSE))*G$69)+G$70</f>
        <v>7485.4299363057326</v>
      </c>
      <c r="H8" s="1">
        <f>((VLOOKUP($A8,Материал!$A$3:$J$68,3,FALSE))*H$69)+H$70</f>
        <v>14933.519108280254</v>
      </c>
      <c r="I8" s="1">
        <f>((VLOOKUP($A8,Материал!$A$3:$J$68,3,FALSE))*I$69)+I$70</f>
        <v>14970.859872611465</v>
      </c>
      <c r="J8" s="1">
        <f>((VLOOKUP($A8,Материал!$A$3:$J$68,3,FALSE))*J$69)+J$70</f>
        <v>14970.859872611465</v>
      </c>
      <c r="K8" s="1">
        <f>((VLOOKUP($A8,Материал!$A$3:$J$68,3,FALSE))*K$69)+K$70</f>
        <v>14896.178343949045</v>
      </c>
      <c r="L8" s="1">
        <f>((VLOOKUP($A8,Материал!$A$3:$J$68,3,FALSE))*L$69)+L$70</f>
        <v>15045.541401273886</v>
      </c>
      <c r="M8" s="1">
        <f>((VLOOKUP($A8,Материал!$A$3:$J$68,3,FALSE))*M$69)+M$70</f>
        <v>7313.6624203821657</v>
      </c>
      <c r="N8" s="1">
        <f>((VLOOKUP($A8,Материал!$A$3:$J$68,3,FALSE))*N$69)+N$70</f>
        <v>7313.6624203821657</v>
      </c>
      <c r="O8" s="1">
        <f>((VLOOKUP($A8,Материал!$A$3:$J$68,3,FALSE))*O$69)+O$70</f>
        <v>7313.6624203821657</v>
      </c>
      <c r="P8" s="28">
        <v>0</v>
      </c>
    </row>
    <row r="9" spans="1:18" x14ac:dyDescent="0.25">
      <c r="A9" s="36" t="s">
        <v>150</v>
      </c>
      <c r="B9" s="1">
        <f>((VLOOKUP($A9,Материал!$A$3:$J$68,3,FALSE))*B$69)+B$70</f>
        <v>7376.1942675159235</v>
      </c>
      <c r="C9" s="1">
        <f>((VLOOKUP($A9,Материал!$A$3:$J$68,3,FALSE))*C$69)+C$70</f>
        <v>7413.8136942675155</v>
      </c>
      <c r="D9" s="1">
        <f>((VLOOKUP($A9,Материал!$A$3:$J$68,3,FALSE))*D$69)+D$70</f>
        <v>7451.4331210191085</v>
      </c>
      <c r="E9" s="1">
        <f>((VLOOKUP($A9,Материал!$A$3:$J$68,3,FALSE))*E$69)+E$70</f>
        <v>7489.0525477707006</v>
      </c>
      <c r="F9" s="1">
        <f>((VLOOKUP($A9,Материал!$A$3:$J$68,3,FALSE))*F$69)+F$70</f>
        <v>7526.6719745222927</v>
      </c>
      <c r="G9" s="1">
        <f>((VLOOKUP($A9,Материал!$A$3:$J$68,3,FALSE))*G$69)+G$70</f>
        <v>7489.0525477707006</v>
      </c>
      <c r="H9" s="1">
        <f>((VLOOKUP($A9,Материал!$A$3:$J$68,3,FALSE))*H$69)+H$70</f>
        <v>14940.485668789808</v>
      </c>
      <c r="I9" s="1">
        <f>((VLOOKUP($A9,Материал!$A$3:$J$68,3,FALSE))*I$69)+I$70</f>
        <v>14978.105095541401</v>
      </c>
      <c r="J9" s="1">
        <f>((VLOOKUP($A9,Материал!$A$3:$J$68,3,FALSE))*J$69)+J$70</f>
        <v>14978.105095541401</v>
      </c>
      <c r="K9" s="1">
        <f>((VLOOKUP($A9,Материал!$A$3:$J$68,3,FALSE))*K$69)+K$70</f>
        <v>14902.866242038217</v>
      </c>
      <c r="L9" s="1">
        <f>((VLOOKUP($A9,Материал!$A$3:$J$68,3,FALSE))*L$69)+L$70</f>
        <v>15053.343949044585</v>
      </c>
      <c r="M9" s="1">
        <f>((VLOOKUP($A9,Материал!$A$3:$J$68,3,FALSE))*M$69)+M$70</f>
        <v>7316.003184713376</v>
      </c>
      <c r="N9" s="1">
        <f>((VLOOKUP($A9,Материал!$A$3:$J$68,3,FALSE))*N$69)+N$70</f>
        <v>7316.003184713376</v>
      </c>
      <c r="O9" s="1">
        <f>((VLOOKUP($A9,Материал!$A$3:$J$68,3,FALSE))*O$69)+O$70</f>
        <v>7316.003184713376</v>
      </c>
      <c r="P9" s="28">
        <v>0</v>
      </c>
    </row>
    <row r="10" spans="1:18" x14ac:dyDescent="0.25">
      <c r="A10" s="6" t="s">
        <v>152</v>
      </c>
      <c r="B10" s="1">
        <f>((VLOOKUP($A10,Материал!$A$3:$J$68,3,FALSE))*B$69)+B$70</f>
        <v>7535.0318471337578</v>
      </c>
      <c r="C10" s="1">
        <f>((VLOOKUP($A10,Материал!$A$3:$J$68,3,FALSE))*C$69)+C$70</f>
        <v>7588.5350318471337</v>
      </c>
      <c r="D10" s="1">
        <f>((VLOOKUP($A10,Материал!$A$3:$J$68,3,FALSE))*D$69)+D$70</f>
        <v>7642.0382165605097</v>
      </c>
      <c r="E10" s="1">
        <f>((VLOOKUP($A10,Материал!$A$3:$J$68,3,FALSE))*E$69)+E$70</f>
        <v>7695.5414012738856</v>
      </c>
      <c r="F10" s="1">
        <f>((VLOOKUP($A10,Материал!$A$3:$J$68,3,FALSE))*F$69)+F$70</f>
        <v>7749.0445859872616</v>
      </c>
      <c r="G10" s="1">
        <f>((VLOOKUP($A10,Материал!$A$3:$J$68,3,FALSE))*G$69)+G$70</f>
        <v>7695.5414012738856</v>
      </c>
      <c r="H10" s="1">
        <f>((VLOOKUP($A10,Материал!$A$3:$J$68,3,FALSE))*H$69)+H$70</f>
        <v>15337.579617834395</v>
      </c>
      <c r="I10" s="1">
        <f>((VLOOKUP($A10,Материал!$A$3:$J$68,3,FALSE))*I$69)+I$70</f>
        <v>15391.082802547771</v>
      </c>
      <c r="J10" s="1">
        <f>((VLOOKUP($A10,Материал!$A$3:$J$68,3,FALSE))*J$69)+J$70</f>
        <v>15391.082802547771</v>
      </c>
      <c r="K10" s="1">
        <f>((VLOOKUP($A10,Материал!$A$3:$J$68,3,FALSE))*K$69)+K$70</f>
        <v>15284.076433121019</v>
      </c>
      <c r="L10" s="1">
        <f>((VLOOKUP($A10,Материал!$A$3:$J$68,3,FALSE))*L$69)+L$70</f>
        <v>15498.089171974523</v>
      </c>
      <c r="M10" s="1">
        <f>((VLOOKUP($A10,Материал!$A$3:$J$68,3,FALSE))*M$69)+M$70</f>
        <v>7449.4267515923566</v>
      </c>
      <c r="N10" s="1">
        <f>((VLOOKUP($A10,Материал!$A$3:$J$68,3,FALSE))*N$69)+N$70</f>
        <v>7449.4267515923566</v>
      </c>
      <c r="O10" s="1">
        <f>((VLOOKUP($A10,Материал!$A$3:$J$68,3,FALSE))*O$69)+O$70</f>
        <v>7449.4267515923566</v>
      </c>
      <c r="P10" s="28">
        <v>0</v>
      </c>
    </row>
    <row r="11" spans="1:18" x14ac:dyDescent="0.25">
      <c r="A11" s="6" t="s">
        <v>149</v>
      </c>
      <c r="B11" s="1">
        <f>((VLOOKUP($A11,Материал!$A$3:$J$68,3,FALSE))*B$69)+B$70</f>
        <v>7395.7006369426754</v>
      </c>
      <c r="C11" s="1">
        <f>((VLOOKUP($A11,Материал!$A$3:$J$68,3,FALSE))*C$69)+C$70</f>
        <v>7435.2707006369428</v>
      </c>
      <c r="D11" s="1">
        <f>((VLOOKUP($A11,Материал!$A$3:$J$68,3,FALSE))*D$69)+D$70</f>
        <v>7474.8407643312103</v>
      </c>
      <c r="E11" s="1">
        <f>((VLOOKUP($A11,Материал!$A$3:$J$68,3,FALSE))*E$69)+E$70</f>
        <v>7514.4108280254777</v>
      </c>
      <c r="F11" s="1">
        <f>((VLOOKUP($A11,Материал!$A$3:$J$68,3,FALSE))*F$69)+F$70</f>
        <v>7553.9808917197452</v>
      </c>
      <c r="G11" s="1">
        <f>((VLOOKUP($A11,Материал!$A$3:$J$68,3,FALSE))*G$69)+G$70</f>
        <v>7514.4108280254777</v>
      </c>
      <c r="H11" s="1">
        <f>((VLOOKUP($A11,Материал!$A$3:$J$68,3,FALSE))*H$69)+H$70</f>
        <v>14989.251592356688</v>
      </c>
      <c r="I11" s="1">
        <f>((VLOOKUP($A11,Материал!$A$3:$J$68,3,FALSE))*I$69)+I$70</f>
        <v>15028.821656050955</v>
      </c>
      <c r="J11" s="1">
        <f>((VLOOKUP($A11,Материал!$A$3:$J$68,3,FALSE))*J$69)+J$70</f>
        <v>15028.821656050955</v>
      </c>
      <c r="K11" s="1">
        <f>((VLOOKUP($A11,Материал!$A$3:$J$68,3,FALSE))*K$69)+K$70</f>
        <v>14949.681528662421</v>
      </c>
      <c r="L11" s="1">
        <f>((VLOOKUP($A11,Материал!$A$3:$J$68,3,FALSE))*L$69)+L$70</f>
        <v>15107.96178343949</v>
      </c>
      <c r="M11" s="1">
        <f>((VLOOKUP($A11,Материал!$A$3:$J$68,3,FALSE))*M$69)+M$70</f>
        <v>7332.3885350318469</v>
      </c>
      <c r="N11" s="1">
        <f>((VLOOKUP($A11,Материал!$A$3:$J$68,3,FALSE))*N$69)+N$70</f>
        <v>7332.3885350318469</v>
      </c>
      <c r="O11" s="1">
        <f>((VLOOKUP($A11,Материал!$A$3:$J$68,3,FALSE))*O$69)+O$70</f>
        <v>7332.3885350318469</v>
      </c>
      <c r="P11" s="28">
        <v>0</v>
      </c>
    </row>
    <row r="12" spans="1:18" x14ac:dyDescent="0.25">
      <c r="A12" s="10" t="s">
        <v>153</v>
      </c>
      <c r="B12" s="1">
        <f>((VLOOKUP($A12,Материал!$A$3:$J$68,3,FALSE))*B$69)+B$70</f>
        <v>7535.0318471337578</v>
      </c>
      <c r="C12" s="1">
        <f>((VLOOKUP($A12,Материал!$A$3:$J$68,3,FALSE))*C$69)+C$70</f>
        <v>7588.5350318471337</v>
      </c>
      <c r="D12" s="1">
        <f>((VLOOKUP($A12,Материал!$A$3:$J$68,3,FALSE))*D$69)+D$70</f>
        <v>7642.0382165605097</v>
      </c>
      <c r="E12" s="1">
        <f>((VLOOKUP($A12,Материал!$A$3:$J$68,3,FALSE))*E$69)+E$70</f>
        <v>7695.5414012738856</v>
      </c>
      <c r="F12" s="1">
        <f>((VLOOKUP($A12,Материал!$A$3:$J$68,3,FALSE))*F$69)+F$70</f>
        <v>7749.0445859872616</v>
      </c>
      <c r="G12" s="1">
        <f>((VLOOKUP($A12,Материал!$A$3:$J$68,3,FALSE))*G$69)+G$70</f>
        <v>7695.5414012738856</v>
      </c>
      <c r="H12" s="1">
        <f>((VLOOKUP($A12,Материал!$A$3:$J$68,3,FALSE))*H$69)+H$70</f>
        <v>15337.579617834395</v>
      </c>
      <c r="I12" s="1">
        <f>((VLOOKUP($A12,Материал!$A$3:$J$68,3,FALSE))*I$69)+I$70</f>
        <v>15391.082802547771</v>
      </c>
      <c r="J12" s="1">
        <f>((VLOOKUP($A12,Материал!$A$3:$J$68,3,FALSE))*J$69)+J$70</f>
        <v>15391.082802547771</v>
      </c>
      <c r="K12" s="1">
        <f>((VLOOKUP($A12,Материал!$A$3:$J$68,3,FALSE))*K$69)+K$70</f>
        <v>15284.076433121019</v>
      </c>
      <c r="L12" s="1">
        <f>((VLOOKUP($A12,Материал!$A$3:$J$68,3,FALSE))*L$69)+L$70</f>
        <v>15498.089171974523</v>
      </c>
      <c r="M12" s="1">
        <f>((VLOOKUP($A12,Материал!$A$3:$J$68,3,FALSE))*M$69)+M$70</f>
        <v>7449.4267515923566</v>
      </c>
      <c r="N12" s="1">
        <f>((VLOOKUP($A12,Материал!$A$3:$J$68,3,FALSE))*N$69)+N$70</f>
        <v>7449.4267515923566</v>
      </c>
      <c r="O12" s="1">
        <f>((VLOOKUP($A12,Материал!$A$3:$J$68,3,FALSE))*O$69)+O$70</f>
        <v>7449.4267515923566</v>
      </c>
      <c r="P12" s="28">
        <v>0</v>
      </c>
    </row>
    <row r="13" spans="1:18" x14ac:dyDescent="0.25">
      <c r="A13" s="37" t="s">
        <v>154</v>
      </c>
      <c r="B13" s="1">
        <f>((VLOOKUP($A13,Материал!$A$3:$J$68,3,FALSE))*B$69)+B$70</f>
        <v>7632.5636942675155</v>
      </c>
      <c r="C13" s="1">
        <f>((VLOOKUP($A13,Материал!$A$3:$J$68,3,FALSE))*C$69)+C$70</f>
        <v>7695.8200636942674</v>
      </c>
      <c r="D13" s="1">
        <f>((VLOOKUP($A13,Материал!$A$3:$J$68,3,FALSE))*D$69)+D$70</f>
        <v>7759.0764331210194</v>
      </c>
      <c r="E13" s="1">
        <f>((VLOOKUP($A13,Материал!$A$3:$J$68,3,FALSE))*E$69)+E$70</f>
        <v>7822.3328025477713</v>
      </c>
      <c r="F13" s="1">
        <f>((VLOOKUP($A13,Материал!$A$3:$J$68,3,FALSE))*F$69)+F$70</f>
        <v>7885.5891719745223</v>
      </c>
      <c r="G13" s="1">
        <f>((VLOOKUP($A13,Материал!$A$3:$J$68,3,FALSE))*G$69)+G$70</f>
        <v>7822.3328025477713</v>
      </c>
      <c r="H13" s="1">
        <f>((VLOOKUP($A13,Материал!$A$3:$J$68,3,FALSE))*H$69)+H$70</f>
        <v>15581.409235668791</v>
      </c>
      <c r="I13" s="1">
        <f>((VLOOKUP($A13,Материал!$A$3:$J$68,3,FALSE))*I$69)+I$70</f>
        <v>15644.665605095543</v>
      </c>
      <c r="J13" s="1">
        <f>((VLOOKUP($A13,Материал!$A$3:$J$68,3,FALSE))*J$69)+J$70</f>
        <v>15644.665605095543</v>
      </c>
      <c r="K13" s="1">
        <f>((VLOOKUP($A13,Материал!$A$3:$J$68,3,FALSE))*K$69)+K$70</f>
        <v>15518.152866242039</v>
      </c>
      <c r="L13" s="1">
        <f>((VLOOKUP($A13,Материал!$A$3:$J$68,3,FALSE))*L$69)+L$70</f>
        <v>15771.178343949045</v>
      </c>
      <c r="M13" s="1">
        <f>((VLOOKUP($A13,Материал!$A$3:$J$68,3,FALSE))*M$69)+M$70</f>
        <v>7531.3535031847132</v>
      </c>
      <c r="N13" s="1">
        <f>((VLOOKUP($A13,Материал!$A$3:$J$68,3,FALSE))*N$69)+N$70</f>
        <v>7531.3535031847132</v>
      </c>
      <c r="O13" s="1">
        <f>((VLOOKUP($A13,Материал!$A$3:$J$68,3,FALSE))*O$69)+O$70</f>
        <v>7531.3535031847132</v>
      </c>
      <c r="P13" s="28">
        <v>0</v>
      </c>
    </row>
    <row r="14" spans="1:18" x14ac:dyDescent="0.25">
      <c r="A14" s="6" t="s">
        <v>272</v>
      </c>
      <c r="B14" s="1">
        <f>((VLOOKUP($A14,Материал!$A$3:$J$68,3,FALSE))*B$69)+B$70</f>
        <v>7192.0780254777073</v>
      </c>
      <c r="C14" s="1">
        <f>((VLOOKUP($A14,Материал!$A$3:$J$68,3,FALSE))*C$69)+C$70</f>
        <v>7211.2858280254777</v>
      </c>
      <c r="D14" s="1">
        <f>((VLOOKUP($A14,Материал!$A$3:$J$68,3,FALSE))*D$69)+D$70</f>
        <v>7230.4936305732481</v>
      </c>
      <c r="E14" s="1">
        <f>((VLOOKUP($A14,Материал!$A$3:$J$68,3,FALSE))*E$69)+E$70</f>
        <v>7249.7014331210194</v>
      </c>
      <c r="F14" s="1">
        <f>((VLOOKUP($A14,Материал!$A$3:$J$68,3,FALSE))*F$69)+F$70</f>
        <v>7268.9092356687897</v>
      </c>
      <c r="G14" s="1">
        <f>((VLOOKUP($A14,Материал!$A$3:$J$68,3,FALSE))*G$69)+G$70</f>
        <v>7249.7014331210194</v>
      </c>
      <c r="H14" s="1">
        <f>((VLOOKUP($A14,Материал!$A$3:$J$68,3,FALSE))*H$69)+H$70</f>
        <v>14480.195063694267</v>
      </c>
      <c r="I14" s="1">
        <f>((VLOOKUP($A14,Материал!$A$3:$J$68,3,FALSE))*I$69)+I$70</f>
        <v>14499.402866242039</v>
      </c>
      <c r="J14" s="1">
        <f>((VLOOKUP($A14,Материал!$A$3:$J$68,3,FALSE))*J$69)+J$70</f>
        <v>14499.402866242039</v>
      </c>
      <c r="K14" s="1">
        <f>((VLOOKUP($A14,Материал!$A$3:$J$68,3,FALSE))*K$69)+K$70</f>
        <v>14460.987261146496</v>
      </c>
      <c r="L14" s="1">
        <f>((VLOOKUP($A14,Материал!$A$3:$J$68,3,FALSE))*L$69)+L$70</f>
        <v>14537.818471337579</v>
      </c>
      <c r="M14" s="1">
        <f>((VLOOKUP($A14,Материал!$A$3:$J$68,3,FALSE))*M$69)+M$70</f>
        <v>7161.3455414012742</v>
      </c>
      <c r="N14" s="1">
        <f>((VLOOKUP($A14,Материал!$A$3:$J$68,3,FALSE))*N$69)+N$70</f>
        <v>7161.3455414012742</v>
      </c>
      <c r="O14" s="1">
        <f>((VLOOKUP($A14,Материал!$A$3:$J$68,3,FALSE))*O$69)+O$70</f>
        <v>7161.3455414012742</v>
      </c>
      <c r="P14" s="28">
        <v>0</v>
      </c>
    </row>
    <row r="15" spans="1:18" x14ac:dyDescent="0.25">
      <c r="A15" s="6" t="s">
        <v>14</v>
      </c>
      <c r="B15" s="1">
        <f>((VLOOKUP($A15,Материал!$A$3:$J$68,3,FALSE))*B$69)+B$70</f>
        <v>7255.9713375796182</v>
      </c>
      <c r="C15" s="1">
        <f>((VLOOKUP($A15,Материал!$A$3:$J$68,3,FALSE))*C$69)+C$70</f>
        <v>7281.5684713375795</v>
      </c>
      <c r="D15" s="1">
        <f>((VLOOKUP($A15,Материал!$A$3:$J$68,3,FALSE))*D$69)+D$70</f>
        <v>7307.1656050955417</v>
      </c>
      <c r="E15" s="1">
        <f>((VLOOKUP($A15,Материал!$A$3:$J$68,3,FALSE))*E$69)+E$70</f>
        <v>7332.7627388535029</v>
      </c>
      <c r="F15" s="1">
        <f>((VLOOKUP($A15,Материал!$A$3:$J$68,3,FALSE))*F$69)+F$70</f>
        <v>7358.3598726114651</v>
      </c>
      <c r="G15" s="1">
        <f>((VLOOKUP($A15,Материал!$A$3:$J$68,3,FALSE))*G$69)+G$70</f>
        <v>7332.7627388535029</v>
      </c>
      <c r="H15" s="1">
        <f>((VLOOKUP($A15,Материал!$A$3:$J$68,3,FALSE))*H$69)+H$70</f>
        <v>14639.928343949045</v>
      </c>
      <c r="I15" s="1">
        <f>((VLOOKUP($A15,Материал!$A$3:$J$68,3,FALSE))*I$69)+I$70</f>
        <v>14665.525477707006</v>
      </c>
      <c r="J15" s="1">
        <f>((VLOOKUP($A15,Материал!$A$3:$J$68,3,FALSE))*J$69)+J$70</f>
        <v>14665.525477707006</v>
      </c>
      <c r="K15" s="1">
        <f>((VLOOKUP($A15,Материал!$A$3:$J$68,3,FALSE))*K$69)+K$70</f>
        <v>14614.331210191083</v>
      </c>
      <c r="L15" s="1">
        <f>((VLOOKUP($A15,Материал!$A$3:$J$68,3,FALSE))*L$69)+L$70</f>
        <v>14716.71974522293</v>
      </c>
      <c r="M15" s="1">
        <f>((VLOOKUP($A15,Материал!$A$3:$J$68,3,FALSE))*M$69)+M$70</f>
        <v>7215.0159235668789</v>
      </c>
      <c r="N15" s="1">
        <f>((VLOOKUP($A15,Материал!$A$3:$J$68,3,FALSE))*N$69)+N$70</f>
        <v>7215.0159235668789</v>
      </c>
      <c r="O15" s="1">
        <f>((VLOOKUP($A15,Материал!$A$3:$J$68,3,FALSE))*O$69)+O$70</f>
        <v>7215.0159235668789</v>
      </c>
      <c r="P15" s="28">
        <v>0</v>
      </c>
    </row>
    <row r="16" spans="1:18" x14ac:dyDescent="0.25">
      <c r="A16" s="6" t="s">
        <v>15</v>
      </c>
      <c r="B16" s="1">
        <f>((VLOOKUP($A16,Материал!$A$3:$J$68,3,FALSE))*B$69)+B$70</f>
        <v>7255.9713375796182</v>
      </c>
      <c r="C16" s="1">
        <f>((VLOOKUP($A16,Материал!$A$3:$J$68,3,FALSE))*C$69)+C$70</f>
        <v>7281.5684713375795</v>
      </c>
      <c r="D16" s="1">
        <f>((VLOOKUP($A16,Материал!$A$3:$J$68,3,FALSE))*D$69)+D$70</f>
        <v>7307.1656050955417</v>
      </c>
      <c r="E16" s="1">
        <f>((VLOOKUP($A16,Материал!$A$3:$J$68,3,FALSE))*E$69)+E$70</f>
        <v>7332.7627388535029</v>
      </c>
      <c r="F16" s="1">
        <f>((VLOOKUP($A16,Материал!$A$3:$J$68,3,FALSE))*F$69)+F$70</f>
        <v>7358.3598726114651</v>
      </c>
      <c r="G16" s="1">
        <f>((VLOOKUP($A16,Материал!$A$3:$J$68,3,FALSE))*G$69)+G$70</f>
        <v>7332.7627388535029</v>
      </c>
      <c r="H16" s="1">
        <f>((VLOOKUP($A16,Материал!$A$3:$J$68,3,FALSE))*H$69)+H$70</f>
        <v>14639.928343949045</v>
      </c>
      <c r="I16" s="1">
        <f>((VLOOKUP($A16,Материал!$A$3:$J$68,3,FALSE))*I$69)+I$70</f>
        <v>14665.525477707006</v>
      </c>
      <c r="J16" s="1">
        <f>((VLOOKUP($A16,Материал!$A$3:$J$68,3,FALSE))*J$69)+J$70</f>
        <v>14665.525477707006</v>
      </c>
      <c r="K16" s="1">
        <f>((VLOOKUP($A16,Материал!$A$3:$J$68,3,FALSE))*K$69)+K$70</f>
        <v>14614.331210191083</v>
      </c>
      <c r="L16" s="1">
        <f>((VLOOKUP($A16,Материал!$A$3:$J$68,3,FALSE))*L$69)+L$70</f>
        <v>14716.71974522293</v>
      </c>
      <c r="M16" s="1">
        <f>((VLOOKUP($A16,Материал!$A$3:$J$68,3,FALSE))*M$69)+M$70</f>
        <v>7215.0159235668789</v>
      </c>
      <c r="N16" s="1">
        <f>((VLOOKUP($A16,Материал!$A$3:$J$68,3,FALSE))*N$69)+N$70</f>
        <v>7215.0159235668789</v>
      </c>
      <c r="O16" s="1">
        <f>((VLOOKUP($A16,Материал!$A$3:$J$68,3,FALSE))*O$69)+O$70</f>
        <v>7215.0159235668789</v>
      </c>
      <c r="P16" s="28">
        <v>0</v>
      </c>
    </row>
    <row r="17" spans="1:18" x14ac:dyDescent="0.25">
      <c r="A17" s="6" t="s">
        <v>16</v>
      </c>
      <c r="B17" s="1">
        <f>((VLOOKUP($A17,Материал!$A$3:$J$68,3,FALSE))*B$69)+B$70</f>
        <v>7270.3025477707006</v>
      </c>
      <c r="C17" s="1">
        <f>((VLOOKUP($A17,Материал!$A$3:$J$68,3,FALSE))*C$69)+C$70</f>
        <v>7297.3328025477704</v>
      </c>
      <c r="D17" s="1">
        <f>((VLOOKUP($A17,Материал!$A$3:$J$68,3,FALSE))*D$69)+D$70</f>
        <v>7324.3630573248411</v>
      </c>
      <c r="E17" s="1">
        <f>((VLOOKUP($A17,Материал!$A$3:$J$68,3,FALSE))*E$69)+E$70</f>
        <v>7351.3933121019109</v>
      </c>
      <c r="F17" s="1">
        <f>((VLOOKUP($A17,Материал!$A$3:$J$68,3,FALSE))*F$69)+F$70</f>
        <v>7378.4235668789806</v>
      </c>
      <c r="G17" s="1">
        <f>((VLOOKUP($A17,Материал!$A$3:$J$68,3,FALSE))*G$69)+G$70</f>
        <v>7351.3933121019109</v>
      </c>
      <c r="H17" s="1">
        <f>((VLOOKUP($A17,Материал!$A$3:$J$68,3,FALSE))*H$69)+H$70</f>
        <v>14675.756369426752</v>
      </c>
      <c r="I17" s="1">
        <f>((VLOOKUP($A17,Материал!$A$3:$J$68,3,FALSE))*I$69)+I$70</f>
        <v>14702.786624203822</v>
      </c>
      <c r="J17" s="1">
        <f>((VLOOKUP($A17,Материал!$A$3:$J$68,3,FALSE))*J$69)+J$70</f>
        <v>14702.786624203822</v>
      </c>
      <c r="K17" s="1">
        <f>((VLOOKUP($A17,Материал!$A$3:$J$68,3,FALSE))*K$69)+K$70</f>
        <v>14648.726114649682</v>
      </c>
      <c r="L17" s="1">
        <f>((VLOOKUP($A17,Материал!$A$3:$J$68,3,FALSE))*L$69)+L$70</f>
        <v>14756.847133757961</v>
      </c>
      <c r="M17" s="1">
        <f>((VLOOKUP($A17,Материал!$A$3:$J$68,3,FALSE))*M$69)+M$70</f>
        <v>7227.0541401273886</v>
      </c>
      <c r="N17" s="1">
        <f>((VLOOKUP($A17,Материал!$A$3:$J$68,3,FALSE))*N$69)+N$70</f>
        <v>7227.0541401273886</v>
      </c>
      <c r="O17" s="1">
        <f>((VLOOKUP($A17,Материал!$A$3:$J$68,3,FALSE))*O$69)+O$70</f>
        <v>7227.0541401273886</v>
      </c>
      <c r="P17" s="28">
        <v>0</v>
      </c>
    </row>
    <row r="18" spans="1:18" x14ac:dyDescent="0.25">
      <c r="A18" s="6" t="s">
        <v>17</v>
      </c>
      <c r="B18" s="1">
        <f>((VLOOKUP($A18,Материал!$A$3:$J$68,3,FALSE))*B$69)+B$70</f>
        <v>7291.6003184713372</v>
      </c>
      <c r="C18" s="1">
        <f>((VLOOKUP($A18,Материал!$A$3:$J$68,3,FALSE))*C$69)+C$70</f>
        <v>7320.760350318471</v>
      </c>
      <c r="D18" s="1">
        <f>((VLOOKUP($A18,Материал!$A$3:$J$68,3,FALSE))*D$69)+D$70</f>
        <v>7349.9203821656047</v>
      </c>
      <c r="E18" s="1">
        <f>((VLOOKUP($A18,Материал!$A$3:$J$68,3,FALSE))*E$69)+E$70</f>
        <v>7379.0804140127384</v>
      </c>
      <c r="F18" s="1">
        <f>((VLOOKUP($A18,Материал!$A$3:$J$68,3,FALSE))*F$69)+F$70</f>
        <v>7408.2404458598721</v>
      </c>
      <c r="G18" s="1">
        <f>((VLOOKUP($A18,Материал!$A$3:$J$68,3,FALSE))*G$69)+G$70</f>
        <v>7379.0804140127384</v>
      </c>
      <c r="H18" s="1">
        <f>((VLOOKUP($A18,Материал!$A$3:$J$68,3,FALSE))*H$69)+H$70</f>
        <v>14729.000796178345</v>
      </c>
      <c r="I18" s="1">
        <f>((VLOOKUP($A18,Материал!$A$3:$J$68,3,FALSE))*I$69)+I$70</f>
        <v>14758.160828025477</v>
      </c>
      <c r="J18" s="1">
        <f>((VLOOKUP($A18,Материал!$A$3:$J$68,3,FALSE))*J$69)+J$70</f>
        <v>14758.160828025477</v>
      </c>
      <c r="K18" s="1">
        <f>((VLOOKUP($A18,Материал!$A$3:$J$68,3,FALSE))*K$69)+K$70</f>
        <v>14699.840764331209</v>
      </c>
      <c r="L18" s="1">
        <f>((VLOOKUP($A18,Материал!$A$3:$J$68,3,FALSE))*L$69)+L$70</f>
        <v>14816.480891719744</v>
      </c>
      <c r="M18" s="1">
        <f>((VLOOKUP($A18,Материал!$A$3:$J$68,3,FALSE))*M$69)+M$70</f>
        <v>7244.9442675159235</v>
      </c>
      <c r="N18" s="1">
        <f>((VLOOKUP($A18,Материал!$A$3:$J$68,3,FALSE))*N$69)+N$70</f>
        <v>7244.9442675159235</v>
      </c>
      <c r="O18" s="1">
        <f>((VLOOKUP($A18,Материал!$A$3:$J$68,3,FALSE))*O$69)+O$70</f>
        <v>7244.9442675159235</v>
      </c>
      <c r="P18" s="28">
        <v>0</v>
      </c>
    </row>
    <row r="19" spans="1:18" x14ac:dyDescent="0.25">
      <c r="A19" s="6" t="s">
        <v>18</v>
      </c>
      <c r="B19" s="1">
        <f>((VLOOKUP($A19,Материал!$A$3:$J$68,3,FALSE))*B$69)+B$70</f>
        <v>7291.6003184713372</v>
      </c>
      <c r="C19" s="1">
        <f>((VLOOKUP($A19,Материал!$A$3:$J$68,3,FALSE))*C$69)+C$70</f>
        <v>7320.760350318471</v>
      </c>
      <c r="D19" s="1">
        <f>((VLOOKUP($A19,Материал!$A$3:$J$68,3,FALSE))*D$69)+D$70</f>
        <v>7349.9203821656047</v>
      </c>
      <c r="E19" s="1">
        <f>((VLOOKUP($A19,Материал!$A$3:$J$68,3,FALSE))*E$69)+E$70</f>
        <v>7379.0804140127384</v>
      </c>
      <c r="F19" s="1">
        <f>((VLOOKUP($A19,Материал!$A$3:$J$68,3,FALSE))*F$69)+F$70</f>
        <v>7408.2404458598721</v>
      </c>
      <c r="G19" s="1">
        <f>((VLOOKUP($A19,Материал!$A$3:$J$68,3,FALSE))*G$69)+G$70</f>
        <v>7379.0804140127384</v>
      </c>
      <c r="H19" s="1">
        <f>((VLOOKUP($A19,Материал!$A$3:$J$68,3,FALSE))*H$69)+H$70</f>
        <v>14729.000796178345</v>
      </c>
      <c r="I19" s="1">
        <f>((VLOOKUP($A19,Материал!$A$3:$J$68,3,FALSE))*I$69)+I$70</f>
        <v>14758.160828025477</v>
      </c>
      <c r="J19" s="1">
        <f>((VLOOKUP($A19,Материал!$A$3:$J$68,3,FALSE))*J$69)+J$70</f>
        <v>14758.160828025477</v>
      </c>
      <c r="K19" s="1">
        <f>((VLOOKUP($A19,Материал!$A$3:$J$68,3,FALSE))*K$69)+K$70</f>
        <v>14699.840764331209</v>
      </c>
      <c r="L19" s="1">
        <f>((VLOOKUP($A19,Материал!$A$3:$J$68,3,FALSE))*L$69)+L$70</f>
        <v>14816.480891719744</v>
      </c>
      <c r="M19" s="1">
        <f>((VLOOKUP($A19,Материал!$A$3:$J$68,3,FALSE))*M$69)+M$70</f>
        <v>7244.9442675159235</v>
      </c>
      <c r="N19" s="1">
        <f>((VLOOKUP($A19,Материал!$A$3:$J$68,3,FALSE))*N$69)+N$70</f>
        <v>7244.9442675159235</v>
      </c>
      <c r="O19" s="1">
        <f>((VLOOKUP($A19,Материал!$A$3:$J$68,3,FALSE))*O$69)+O$70</f>
        <v>7244.9442675159235</v>
      </c>
      <c r="P19" s="28">
        <v>0</v>
      </c>
    </row>
    <row r="20" spans="1:18" x14ac:dyDescent="0.25">
      <c r="A20" s="170" t="s">
        <v>19</v>
      </c>
      <c r="B20" s="1">
        <f>((VLOOKUP($A20,Материал!$A$3:$J$68,3,FALSE))*B$69)+B$70</f>
        <v>7455.0159235668789</v>
      </c>
      <c r="C20" s="1">
        <f>((VLOOKUP($A20,Материал!$A$3:$J$68,3,FALSE))*C$69)+C$70</f>
        <v>7500.5175159235669</v>
      </c>
      <c r="D20" s="1">
        <f>((VLOOKUP($A20,Материал!$A$3:$J$68,3,FALSE))*D$69)+D$70</f>
        <v>7546.0191082802548</v>
      </c>
      <c r="E20" s="1">
        <f>((VLOOKUP($A20,Материал!$A$3:$J$68,3,FALSE))*E$69)+E$70</f>
        <v>7591.5207006369428</v>
      </c>
      <c r="F20" s="1">
        <f>((VLOOKUP($A20,Материал!$A$3:$J$68,3,FALSE))*F$69)+F$70</f>
        <v>7637.0222929936308</v>
      </c>
      <c r="G20" s="1">
        <f>((VLOOKUP($A20,Материал!$A$3:$J$68,3,FALSE))*G$69)+G$70</f>
        <v>7591.5207006369428</v>
      </c>
      <c r="H20" s="1">
        <f>((VLOOKUP($A20,Материал!$A$3:$J$68,3,FALSE))*H$69)+H$70</f>
        <v>15137.539808917198</v>
      </c>
      <c r="I20" s="1">
        <f>((VLOOKUP($A20,Материал!$A$3:$J$68,3,FALSE))*I$69)+I$70</f>
        <v>15183.041401273886</v>
      </c>
      <c r="J20" s="1">
        <f>((VLOOKUP($A20,Материал!$A$3:$J$68,3,FALSE))*J$69)+J$70</f>
        <v>15183.041401273886</v>
      </c>
      <c r="K20" s="1">
        <f>((VLOOKUP($A20,Материал!$A$3:$J$68,3,FALSE))*K$69)+K$70</f>
        <v>15092.03821656051</v>
      </c>
      <c r="L20" s="1">
        <f>((VLOOKUP($A20,Материал!$A$3:$J$68,3,FALSE))*L$69)+L$70</f>
        <v>15274.044585987262</v>
      </c>
      <c r="M20" s="1">
        <f>((VLOOKUP($A20,Материал!$A$3:$J$68,3,FALSE))*M$69)+M$70</f>
        <v>7382.2133757961783</v>
      </c>
      <c r="N20" s="1">
        <f>((VLOOKUP($A20,Материал!$A$3:$J$68,3,FALSE))*N$69)+N$70</f>
        <v>7382.2133757961783</v>
      </c>
      <c r="O20" s="1">
        <f>((VLOOKUP($A20,Материал!$A$3:$J$68,3,FALSE))*O$69)+O$70</f>
        <v>7382.2133757961783</v>
      </c>
      <c r="P20" s="28">
        <v>0</v>
      </c>
    </row>
    <row r="21" spans="1:18" x14ac:dyDescent="0.25">
      <c r="A21" s="170" t="s">
        <v>20</v>
      </c>
      <c r="B21" s="1">
        <f>((VLOOKUP($A21,Материал!$A$3:$J$68,3,FALSE))*B$69)+B$70</f>
        <v>7497.6114649681531</v>
      </c>
      <c r="C21" s="1">
        <f>((VLOOKUP($A21,Материал!$A$3:$J$68,3,FALSE))*C$69)+C$70</f>
        <v>7547.372611464968</v>
      </c>
      <c r="D21" s="1">
        <f>((VLOOKUP($A21,Материал!$A$3:$J$68,3,FALSE))*D$69)+D$70</f>
        <v>7597.133757961783</v>
      </c>
      <c r="E21" s="1">
        <f>((VLOOKUP($A21,Материал!$A$3:$J$68,3,FALSE))*E$69)+E$70</f>
        <v>7646.8949044585988</v>
      </c>
      <c r="F21" s="1">
        <f>((VLOOKUP($A21,Материал!$A$3:$J$68,3,FALSE))*F$69)+F$70</f>
        <v>7696.6560509554138</v>
      </c>
      <c r="G21" s="1">
        <f>((VLOOKUP($A21,Материал!$A$3:$J$68,3,FALSE))*G$69)+G$70</f>
        <v>7646.8949044585988</v>
      </c>
      <c r="H21" s="1">
        <f>((VLOOKUP($A21,Материал!$A$3:$J$68,3,FALSE))*H$69)+H$70</f>
        <v>15244.028662420382</v>
      </c>
      <c r="I21" s="1">
        <f>((VLOOKUP($A21,Материал!$A$3:$J$68,3,FALSE))*I$69)+I$70</f>
        <v>15293.789808917198</v>
      </c>
      <c r="J21" s="1">
        <f>((VLOOKUP($A21,Материал!$A$3:$J$68,3,FALSE))*J$69)+J$70</f>
        <v>15293.789808917198</v>
      </c>
      <c r="K21" s="1">
        <f>((VLOOKUP($A21,Материал!$A$3:$J$68,3,FALSE))*K$69)+K$70</f>
        <v>15194.267515923566</v>
      </c>
      <c r="L21" s="1">
        <f>((VLOOKUP($A21,Материал!$A$3:$J$68,3,FALSE))*L$69)+L$70</f>
        <v>15393.312101910828</v>
      </c>
      <c r="M21" s="1">
        <f>((VLOOKUP($A21,Материал!$A$3:$J$68,3,FALSE))*M$69)+M$70</f>
        <v>7417.9936305732481</v>
      </c>
      <c r="N21" s="1">
        <f>((VLOOKUP($A21,Материал!$A$3:$J$68,3,FALSE))*N$69)+N$70</f>
        <v>7417.9936305732481</v>
      </c>
      <c r="O21" s="1">
        <f>((VLOOKUP($A21,Материал!$A$3:$J$68,3,FALSE))*O$69)+O$70</f>
        <v>7417.9936305732481</v>
      </c>
      <c r="P21" s="28">
        <v>0</v>
      </c>
    </row>
    <row r="22" spans="1:18" x14ac:dyDescent="0.25">
      <c r="A22" s="170" t="s">
        <v>273</v>
      </c>
      <c r="B22" s="1">
        <f>((VLOOKUP($A22,Материал!$A$3:$J$68,3,FALSE))*B$69)+B$70</f>
        <v>7497.6114649681531</v>
      </c>
      <c r="C22" s="1">
        <f>((VLOOKUP($A22,Материал!$A$3:$J$68,3,FALSE))*C$69)+C$70</f>
        <v>7547.372611464968</v>
      </c>
      <c r="D22" s="1">
        <f>((VLOOKUP($A22,Материал!$A$3:$J$68,3,FALSE))*D$69)+D$70</f>
        <v>7597.133757961783</v>
      </c>
      <c r="E22" s="1">
        <f>((VLOOKUP($A22,Материал!$A$3:$J$68,3,FALSE))*E$69)+E$70</f>
        <v>7646.8949044585988</v>
      </c>
      <c r="F22" s="1">
        <f>((VLOOKUP($A22,Материал!$A$3:$J$68,3,FALSE))*F$69)+F$70</f>
        <v>7696.6560509554138</v>
      </c>
      <c r="G22" s="1">
        <f>((VLOOKUP($A22,Материал!$A$3:$J$68,3,FALSE))*G$69)+G$70</f>
        <v>7646.8949044585988</v>
      </c>
      <c r="H22" s="1">
        <f>((VLOOKUP($A22,Материал!$A$3:$J$68,3,FALSE))*H$69)+H$70</f>
        <v>15244.028662420382</v>
      </c>
      <c r="I22" s="1">
        <f>((VLOOKUP($A22,Материал!$A$3:$J$68,3,FALSE))*I$69)+I$70</f>
        <v>15293.789808917198</v>
      </c>
      <c r="J22" s="1">
        <f>((VLOOKUP($A22,Материал!$A$3:$J$68,3,FALSE))*J$69)+J$70</f>
        <v>15293.789808917198</v>
      </c>
      <c r="K22" s="1">
        <f>((VLOOKUP($A22,Материал!$A$3:$J$68,3,FALSE))*K$69)+K$70</f>
        <v>15194.267515923566</v>
      </c>
      <c r="L22" s="1">
        <f>((VLOOKUP($A22,Материал!$A$3:$J$68,3,FALSE))*L$69)+L$70</f>
        <v>15393.312101910828</v>
      </c>
      <c r="M22" s="1">
        <f>((VLOOKUP($A22,Материал!$A$3:$J$68,3,FALSE))*M$69)+M$70</f>
        <v>7417.9936305732481</v>
      </c>
      <c r="N22" s="1">
        <f>((VLOOKUP($A22,Материал!$A$3:$J$68,3,FALSE))*N$69)+N$70</f>
        <v>7417.9936305732481</v>
      </c>
      <c r="O22" s="1">
        <f>((VLOOKUP($A22,Материал!$A$3:$J$68,3,FALSE))*O$69)+O$70</f>
        <v>7417.9936305732481</v>
      </c>
      <c r="P22" s="28">
        <v>0</v>
      </c>
    </row>
    <row r="23" spans="1:18" x14ac:dyDescent="0.25">
      <c r="A23" s="170" t="s">
        <v>21</v>
      </c>
      <c r="B23" s="1">
        <f>((VLOOKUP($A23,Материал!$A$3:$J$68,3,FALSE))*B$69)+B$70</f>
        <v>7540.4060509554138</v>
      </c>
      <c r="C23" s="1">
        <f>((VLOOKUP($A23,Материал!$A$3:$J$68,3,FALSE))*C$69)+C$70</f>
        <v>7594.4466560509554</v>
      </c>
      <c r="D23" s="1">
        <f>((VLOOKUP($A23,Материал!$A$3:$J$68,3,FALSE))*D$69)+D$70</f>
        <v>7648.4872611464971</v>
      </c>
      <c r="E23" s="1">
        <f>((VLOOKUP($A23,Материал!$A$3:$J$68,3,FALSE))*E$69)+E$70</f>
        <v>7702.5278662420387</v>
      </c>
      <c r="F23" s="1">
        <f>((VLOOKUP($A23,Материал!$A$3:$J$68,3,FALSE))*F$69)+F$70</f>
        <v>7756.5684713375795</v>
      </c>
      <c r="G23" s="1">
        <f>((VLOOKUP($A23,Материал!$A$3:$J$68,3,FALSE))*G$69)+G$70</f>
        <v>7702.5278662420387</v>
      </c>
      <c r="H23" s="1">
        <f>((VLOOKUP($A23,Материал!$A$3:$J$68,3,FALSE))*H$69)+H$70</f>
        <v>15351.015127388535</v>
      </c>
      <c r="I23" s="1">
        <f>((VLOOKUP($A23,Материал!$A$3:$J$68,3,FALSE))*I$69)+I$70</f>
        <v>15405.055732484077</v>
      </c>
      <c r="J23" s="1">
        <f>((VLOOKUP($A23,Материал!$A$3:$J$68,3,FALSE))*J$69)+J$70</f>
        <v>15405.055732484077</v>
      </c>
      <c r="K23" s="1">
        <f>((VLOOKUP($A23,Материал!$A$3:$J$68,3,FALSE))*K$69)+K$70</f>
        <v>15296.974522292994</v>
      </c>
      <c r="L23" s="1">
        <f>((VLOOKUP($A23,Материал!$A$3:$J$68,3,FALSE))*L$69)+L$70</f>
        <v>15513.136942675159</v>
      </c>
      <c r="M23" s="1">
        <f>((VLOOKUP($A23,Материал!$A$3:$J$68,3,FALSE))*M$69)+M$70</f>
        <v>7453.9410828025475</v>
      </c>
      <c r="N23" s="1">
        <f>((VLOOKUP($A23,Материал!$A$3:$J$68,3,FALSE))*N$69)+N$70</f>
        <v>7453.9410828025475</v>
      </c>
      <c r="O23" s="1">
        <f>((VLOOKUP($A23,Материал!$A$3:$J$68,3,FALSE))*O$69)+O$70</f>
        <v>7453.9410828025475</v>
      </c>
      <c r="P23" s="28">
        <v>0</v>
      </c>
    </row>
    <row r="24" spans="1:18" x14ac:dyDescent="0.25">
      <c r="A24" s="170" t="s">
        <v>274</v>
      </c>
      <c r="B24" s="1">
        <f>((VLOOKUP($A24,Материал!$A$3:$J$68,3,FALSE))*B$69)+B$70</f>
        <v>7554.5382165605097</v>
      </c>
      <c r="C24" s="1">
        <f>((VLOOKUP($A24,Материал!$A$3:$J$68,3,FALSE))*C$69)+C$70</f>
        <v>7609.9920382165601</v>
      </c>
      <c r="D24" s="1">
        <f>((VLOOKUP($A24,Материал!$A$3:$J$68,3,FALSE))*D$69)+D$70</f>
        <v>7665.4458598726114</v>
      </c>
      <c r="E24" s="1">
        <f>((VLOOKUP($A24,Материал!$A$3:$J$68,3,FALSE))*E$69)+E$70</f>
        <v>7720.8996815286628</v>
      </c>
      <c r="F24" s="1">
        <f>((VLOOKUP($A24,Материал!$A$3:$J$68,3,FALSE))*F$69)+F$70</f>
        <v>7776.3535031847132</v>
      </c>
      <c r="G24" s="1">
        <f>((VLOOKUP($A24,Материал!$A$3:$J$68,3,FALSE))*G$69)+G$70</f>
        <v>7720.8996815286628</v>
      </c>
      <c r="H24" s="1">
        <f>((VLOOKUP($A24,Материал!$A$3:$J$68,3,FALSE))*H$69)+H$70</f>
        <v>15386.345541401273</v>
      </c>
      <c r="I24" s="1">
        <f>((VLOOKUP($A24,Материал!$A$3:$J$68,3,FALSE))*I$69)+I$70</f>
        <v>15441.799363057326</v>
      </c>
      <c r="J24" s="1">
        <f>((VLOOKUP($A24,Материал!$A$3:$J$68,3,FALSE))*J$69)+J$70</f>
        <v>15441.799363057326</v>
      </c>
      <c r="K24" s="1">
        <f>((VLOOKUP($A24,Материал!$A$3:$J$68,3,FALSE))*K$69)+K$70</f>
        <v>15330.891719745223</v>
      </c>
      <c r="L24" s="1">
        <f>((VLOOKUP($A24,Материал!$A$3:$J$68,3,FALSE))*L$69)+L$70</f>
        <v>15552.707006369426</v>
      </c>
      <c r="M24" s="1">
        <f>((VLOOKUP($A24,Материал!$A$3:$J$68,3,FALSE))*M$69)+M$70</f>
        <v>7465.8121019108276</v>
      </c>
      <c r="N24" s="1">
        <f>((VLOOKUP($A24,Материал!$A$3:$J$68,3,FALSE))*N$69)+N$70</f>
        <v>7465.8121019108276</v>
      </c>
      <c r="O24" s="1">
        <f>((VLOOKUP($A24,Материал!$A$3:$J$68,3,FALSE))*O$69)+O$70</f>
        <v>7465.8121019108276</v>
      </c>
      <c r="P24" s="28">
        <v>0</v>
      </c>
    </row>
    <row r="25" spans="1:18" x14ac:dyDescent="0.25">
      <c r="A25" s="6" t="s">
        <v>67</v>
      </c>
      <c r="B25" s="1">
        <f>((VLOOKUP($A25,Материал!$A$3:$J$68,3,FALSE))*B$69)+B$70</f>
        <v>7275.875796178344</v>
      </c>
      <c r="C25" s="1">
        <f>((VLOOKUP($A25,Материал!$A$3:$J$68,3,FALSE))*C$69)+C$70</f>
        <v>7303.4633757961783</v>
      </c>
      <c r="D25" s="1">
        <f>((VLOOKUP($A25,Материал!$A$3:$J$68,3,FALSE))*D$69)+D$70</f>
        <v>7331.0509554140126</v>
      </c>
      <c r="E25" s="1">
        <f>((VLOOKUP($A25,Материал!$A$3:$J$68,3,FALSE))*E$69)+E$70</f>
        <v>7358.6385350318469</v>
      </c>
      <c r="F25" s="1">
        <f>((VLOOKUP($A25,Материал!$A$3:$J$68,3,FALSE))*F$69)+F$70</f>
        <v>7386.2261146496812</v>
      </c>
      <c r="G25" s="1">
        <f>((VLOOKUP($A25,Материал!$A$3:$J$68,3,FALSE))*G$69)+G$70</f>
        <v>7358.6385350318469</v>
      </c>
      <c r="H25" s="1">
        <f>((VLOOKUP($A25,Материал!$A$3:$J$68,3,FALSE))*H$69)+H$70</f>
        <v>14689.68949044586</v>
      </c>
      <c r="I25" s="1">
        <f>((VLOOKUP($A25,Материал!$A$3:$J$68,3,FALSE))*I$69)+I$70</f>
        <v>14717.277070063694</v>
      </c>
      <c r="J25" s="1">
        <f>((VLOOKUP($A25,Материал!$A$3:$J$68,3,FALSE))*J$69)+J$70</f>
        <v>14717.277070063694</v>
      </c>
      <c r="K25" s="1">
        <f>((VLOOKUP($A25,Материал!$A$3:$J$68,3,FALSE))*K$69)+K$70</f>
        <v>14662.101910828025</v>
      </c>
      <c r="L25" s="1">
        <f>((VLOOKUP($A25,Материал!$A$3:$J$68,3,FALSE))*L$69)+L$70</f>
        <v>14772.452229299362</v>
      </c>
      <c r="M25" s="1">
        <f>((VLOOKUP($A25,Материал!$A$3:$J$68,3,FALSE))*M$69)+M$70</f>
        <v>7231.7356687898091</v>
      </c>
      <c r="N25" s="1">
        <f>((VLOOKUP($A25,Материал!$A$3:$J$68,3,FALSE))*N$69)+N$70</f>
        <v>7231.7356687898091</v>
      </c>
      <c r="O25" s="1">
        <f>((VLOOKUP($A25,Материал!$A$3:$J$68,3,FALSE))*O$69)+O$70</f>
        <v>7231.7356687898091</v>
      </c>
      <c r="P25" s="28">
        <v>0</v>
      </c>
    </row>
    <row r="26" spans="1:18" x14ac:dyDescent="0.25">
      <c r="A26" s="6" t="s">
        <v>68</v>
      </c>
      <c r="B26" s="1">
        <f>((VLOOKUP($A26,Материал!$A$3:$J$68,3,FALSE))*B$69)+B$70</f>
        <v>7312.1019108280252</v>
      </c>
      <c r="C26" s="1">
        <f>((VLOOKUP($A26,Материал!$A$3:$J$68,3,FALSE))*C$69)+C$70</f>
        <v>7343.3121019108285</v>
      </c>
      <c r="D26" s="1">
        <f>((VLOOKUP($A26,Материал!$A$3:$J$68,3,FALSE))*D$69)+D$70</f>
        <v>7374.5222929936308</v>
      </c>
      <c r="E26" s="1">
        <f>((VLOOKUP($A26,Материал!$A$3:$J$68,3,FALSE))*E$69)+E$70</f>
        <v>7405.7324840764331</v>
      </c>
      <c r="F26" s="1">
        <f>((VLOOKUP($A26,Материал!$A$3:$J$68,3,FALSE))*F$69)+F$70</f>
        <v>7436.9426751592355</v>
      </c>
      <c r="G26" s="1">
        <f>((VLOOKUP($A26,Материал!$A$3:$J$68,3,FALSE))*G$69)+G$70</f>
        <v>7405.7324840764331</v>
      </c>
      <c r="H26" s="1">
        <f>((VLOOKUP($A26,Материал!$A$3:$J$68,3,FALSE))*H$69)+H$70</f>
        <v>14780.254777070064</v>
      </c>
      <c r="I26" s="1">
        <f>((VLOOKUP($A26,Материал!$A$3:$J$68,3,FALSE))*I$69)+I$70</f>
        <v>14811.464968152866</v>
      </c>
      <c r="J26" s="1">
        <f>((VLOOKUP($A26,Материал!$A$3:$J$68,3,FALSE))*J$69)+J$70</f>
        <v>14811.464968152866</v>
      </c>
      <c r="K26" s="1">
        <f>((VLOOKUP($A26,Материал!$A$3:$J$68,3,FALSE))*K$69)+K$70</f>
        <v>14749.044585987262</v>
      </c>
      <c r="L26" s="1">
        <f>((VLOOKUP($A26,Материал!$A$3:$J$68,3,FALSE))*L$69)+L$70</f>
        <v>14873.885350318471</v>
      </c>
      <c r="M26" s="1">
        <f>((VLOOKUP($A26,Материал!$A$3:$J$68,3,FALSE))*M$69)+M$70</f>
        <v>7262.1656050955417</v>
      </c>
      <c r="N26" s="1">
        <f>((VLOOKUP($A26,Материал!$A$3:$J$68,3,FALSE))*N$69)+N$70</f>
        <v>7262.1656050955417</v>
      </c>
      <c r="O26" s="1">
        <f>((VLOOKUP($A26,Материал!$A$3:$J$68,3,FALSE))*O$69)+O$70</f>
        <v>7262.1656050955417</v>
      </c>
      <c r="P26" s="28">
        <v>0</v>
      </c>
    </row>
    <row r="27" spans="1:18" x14ac:dyDescent="0.25">
      <c r="A27" s="170" t="s">
        <v>69</v>
      </c>
      <c r="B27" s="1">
        <f>((VLOOKUP($A27,Материал!$A$3:$J$68,3,FALSE))*B$69)+B$70</f>
        <v>7543.3917197452229</v>
      </c>
      <c r="C27" s="1">
        <f>((VLOOKUP($A27,Материал!$A$3:$J$68,3,FALSE))*C$69)+C$70</f>
        <v>7597.7308917197452</v>
      </c>
      <c r="D27" s="1">
        <f>((VLOOKUP($A27,Материал!$A$3:$J$68,3,FALSE))*D$69)+D$70</f>
        <v>7652.0700636942674</v>
      </c>
      <c r="E27" s="1">
        <f>((VLOOKUP($A27,Материал!$A$3:$J$68,3,FALSE))*E$69)+E$70</f>
        <v>7706.4092356687897</v>
      </c>
      <c r="F27" s="1">
        <f>((VLOOKUP($A27,Материал!$A$3:$J$68,3,FALSE))*F$69)+F$70</f>
        <v>7760.748407643312</v>
      </c>
      <c r="G27" s="1">
        <f>((VLOOKUP($A27,Материал!$A$3:$J$68,3,FALSE))*G$69)+G$70</f>
        <v>7706.4092356687897</v>
      </c>
      <c r="H27" s="1">
        <f>((VLOOKUP($A27,Материал!$A$3:$J$68,3,FALSE))*H$69)+H$70</f>
        <v>15358.479299363058</v>
      </c>
      <c r="I27" s="1">
        <f>((VLOOKUP($A27,Материал!$A$3:$J$68,3,FALSE))*I$69)+I$70</f>
        <v>15412.818471337579</v>
      </c>
      <c r="J27" s="1">
        <f>((VLOOKUP($A27,Материал!$A$3:$J$68,3,FALSE))*J$69)+J$70</f>
        <v>15412.818471337579</v>
      </c>
      <c r="K27" s="1">
        <f>((VLOOKUP($A27,Материал!$A$3:$J$68,3,FALSE))*K$69)+K$70</f>
        <v>15304.140127388535</v>
      </c>
      <c r="L27" s="1">
        <f>((VLOOKUP($A27,Материал!$A$3:$J$68,3,FALSE))*L$69)+L$70</f>
        <v>15521.496815286624</v>
      </c>
      <c r="M27" s="1">
        <f>((VLOOKUP($A27,Материал!$A$3:$J$68,3,FALSE))*M$69)+M$70</f>
        <v>7456.4490445859874</v>
      </c>
      <c r="N27" s="1">
        <f>((VLOOKUP($A27,Материал!$A$3:$J$68,3,FALSE))*N$69)+N$70</f>
        <v>7456.4490445859874</v>
      </c>
      <c r="O27" s="1">
        <f>((VLOOKUP($A27,Материал!$A$3:$J$68,3,FALSE))*O$69)+O$70</f>
        <v>7456.4490445859874</v>
      </c>
      <c r="P27" s="28">
        <v>0</v>
      </c>
    </row>
    <row r="28" spans="1:18" x14ac:dyDescent="0.25">
      <c r="A28" s="6" t="s">
        <v>70</v>
      </c>
      <c r="B28" s="1">
        <f>((VLOOKUP($A28,Материал!$A$3:$J$68,3,FALSE))*B$69)+B$70</f>
        <v>7275.875796178344</v>
      </c>
      <c r="C28" s="1">
        <f>((VLOOKUP($A28,Материал!$A$3:$J$68,3,FALSE))*C$69)+C$70</f>
        <v>7303.4633757961783</v>
      </c>
      <c r="D28" s="1">
        <f>((VLOOKUP($A28,Материал!$A$3:$J$68,3,FALSE))*D$69)+D$70</f>
        <v>7331.0509554140126</v>
      </c>
      <c r="E28" s="1">
        <f>((VLOOKUP($A28,Материал!$A$3:$J$68,3,FALSE))*E$69)+E$70</f>
        <v>7358.6385350318469</v>
      </c>
      <c r="F28" s="1">
        <f>((VLOOKUP($A28,Материал!$A$3:$J$68,3,FALSE))*F$69)+F$70</f>
        <v>7386.2261146496812</v>
      </c>
      <c r="G28" s="1">
        <f>((VLOOKUP($A28,Материал!$A$3:$J$68,3,FALSE))*G$69)+G$70</f>
        <v>7358.6385350318469</v>
      </c>
      <c r="H28" s="1">
        <f>((VLOOKUP($A28,Материал!$A$3:$J$68,3,FALSE))*H$69)+H$70</f>
        <v>14689.68949044586</v>
      </c>
      <c r="I28" s="1">
        <f>((VLOOKUP($A28,Материал!$A$3:$J$68,3,FALSE))*I$69)+I$70</f>
        <v>14717.277070063694</v>
      </c>
      <c r="J28" s="1">
        <f>((VLOOKUP($A28,Материал!$A$3:$J$68,3,FALSE))*J$69)+J$70</f>
        <v>14717.277070063694</v>
      </c>
      <c r="K28" s="1">
        <f>((VLOOKUP($A28,Материал!$A$3:$J$68,3,FALSE))*K$69)+K$70</f>
        <v>14662.101910828025</v>
      </c>
      <c r="L28" s="1">
        <f>((VLOOKUP($A28,Материал!$A$3:$J$68,3,FALSE))*L$69)+L$70</f>
        <v>14772.452229299362</v>
      </c>
      <c r="M28" s="1">
        <f>((VLOOKUP($A28,Материал!$A$3:$J$68,3,FALSE))*M$69)+M$70</f>
        <v>7231.7356687898091</v>
      </c>
      <c r="N28" s="1">
        <f>((VLOOKUP($A28,Материал!$A$3:$J$68,3,FALSE))*N$69)+N$70</f>
        <v>7231.7356687898091</v>
      </c>
      <c r="O28" s="1">
        <f>((VLOOKUP($A28,Материал!$A$3:$J$68,3,FALSE))*O$69)+O$70</f>
        <v>7231.7356687898091</v>
      </c>
      <c r="P28" s="28">
        <v>0</v>
      </c>
      <c r="R28" s="44"/>
    </row>
    <row r="29" spans="1:18" x14ac:dyDescent="0.25">
      <c r="A29" s="36" t="s">
        <v>198</v>
      </c>
      <c r="B29" s="1">
        <f>((VLOOKUP($A29,Материал!$A$3:$J$68,3,FALSE))*B$69)+B$70</f>
        <v>7309.3152866242035</v>
      </c>
      <c r="C29" s="1">
        <f>((VLOOKUP($A29,Материал!$A$3:$J$68,3,FALSE))*C$69)+C$70</f>
        <v>7340.246815286624</v>
      </c>
      <c r="D29" s="1">
        <f>((VLOOKUP($A29,Материал!$A$3:$J$68,3,FALSE))*D$69)+D$70</f>
        <v>7371.1783439490446</v>
      </c>
      <c r="E29" s="1">
        <f>((VLOOKUP($A29,Материал!$A$3:$J$68,3,FALSE))*E$69)+E$70</f>
        <v>7402.1098726114651</v>
      </c>
      <c r="F29" s="1">
        <f>((VLOOKUP($A29,Материал!$A$3:$J$68,3,FALSE))*F$69)+F$70</f>
        <v>7433.0414012738856</v>
      </c>
      <c r="G29" s="1">
        <f>((VLOOKUP($A29,Материал!$A$3:$J$68,3,FALSE))*G$69)+G$70</f>
        <v>7402.1098726114651</v>
      </c>
      <c r="H29" s="1">
        <f>((VLOOKUP($A29,Материал!$A$3:$J$68,3,FALSE))*H$69)+H$70</f>
        <v>14773.28821656051</v>
      </c>
      <c r="I29" s="1">
        <f>((VLOOKUP($A29,Материал!$A$3:$J$68,3,FALSE))*I$69)+I$70</f>
        <v>14804.21974522293</v>
      </c>
      <c r="J29" s="1">
        <f>((VLOOKUP($A29,Материал!$A$3:$J$68,3,FALSE))*J$69)+J$70</f>
        <v>14804.21974522293</v>
      </c>
      <c r="K29" s="1">
        <f>((VLOOKUP($A29,Материал!$A$3:$J$68,3,FALSE))*K$69)+K$70</f>
        <v>14742.356687898089</v>
      </c>
      <c r="L29" s="1">
        <f>((VLOOKUP($A29,Материал!$A$3:$J$68,3,FALSE))*L$69)+L$70</f>
        <v>14866.082802547771</v>
      </c>
      <c r="M29" s="1">
        <f>((VLOOKUP($A29,Материал!$A$3:$J$68,3,FALSE))*M$69)+M$70</f>
        <v>7259.8248407643314</v>
      </c>
      <c r="N29" s="1">
        <f>((VLOOKUP($A29,Материал!$A$3:$J$68,3,FALSE))*N$69)+N$70</f>
        <v>7259.8248407643314</v>
      </c>
      <c r="O29" s="1">
        <f>((VLOOKUP($A29,Материал!$A$3:$J$68,3,FALSE))*O$69)+O$70</f>
        <v>7259.8248407643314</v>
      </c>
      <c r="P29" s="28">
        <v>0</v>
      </c>
    </row>
    <row r="30" spans="1:18" x14ac:dyDescent="0.25">
      <c r="A30" s="36" t="s">
        <v>199</v>
      </c>
      <c r="B30" s="1">
        <f>((VLOOKUP($A30,Материал!$A$3:$J$68,3,FALSE))*B$69)+B$70</f>
        <v>7334.3949044585988</v>
      </c>
      <c r="C30" s="1">
        <f>((VLOOKUP($A30,Материал!$A$3:$J$68,3,FALSE))*C$69)+C$70</f>
        <v>7367.8343949044583</v>
      </c>
      <c r="D30" s="1">
        <f>((VLOOKUP($A30,Материал!$A$3:$J$68,3,FALSE))*D$69)+D$70</f>
        <v>7401.2738853503188</v>
      </c>
      <c r="E30" s="1">
        <f>((VLOOKUP($A30,Материал!$A$3:$J$68,3,FALSE))*E$69)+E$70</f>
        <v>7434.7133757961783</v>
      </c>
      <c r="F30" s="1">
        <f>((VLOOKUP($A30,Материал!$A$3:$J$68,3,FALSE))*F$69)+F$70</f>
        <v>7468.1528662420378</v>
      </c>
      <c r="G30" s="1">
        <f>((VLOOKUP($A30,Материал!$A$3:$J$68,3,FALSE))*G$69)+G$70</f>
        <v>7434.7133757961783</v>
      </c>
      <c r="H30" s="1">
        <f>((VLOOKUP($A30,Материал!$A$3:$J$68,3,FALSE))*H$69)+H$70</f>
        <v>14835.987261146496</v>
      </c>
      <c r="I30" s="1">
        <f>((VLOOKUP($A30,Материал!$A$3:$J$68,3,FALSE))*I$69)+I$70</f>
        <v>14869.426751592357</v>
      </c>
      <c r="J30" s="1">
        <f>((VLOOKUP($A30,Материал!$A$3:$J$68,3,FALSE))*J$69)+J$70</f>
        <v>14869.426751592357</v>
      </c>
      <c r="K30" s="1">
        <f>((VLOOKUP($A30,Материал!$A$3:$J$68,3,FALSE))*K$69)+K$70</f>
        <v>14802.547770700638</v>
      </c>
      <c r="L30" s="1">
        <f>((VLOOKUP($A30,Материал!$A$3:$J$68,3,FALSE))*L$69)+L$70</f>
        <v>14936.305732484076</v>
      </c>
      <c r="M30" s="1">
        <f>((VLOOKUP($A30,Материал!$A$3:$J$68,3,FALSE))*M$69)+M$70</f>
        <v>7280.8917197452229</v>
      </c>
      <c r="N30" s="1">
        <f>((VLOOKUP($A30,Материал!$A$3:$J$68,3,FALSE))*N$69)+N$70</f>
        <v>7280.8917197452229</v>
      </c>
      <c r="O30" s="1">
        <f>((VLOOKUP($A30,Материал!$A$3:$J$68,3,FALSE))*O$69)+O$70</f>
        <v>7280.8917197452229</v>
      </c>
      <c r="P30" s="28">
        <v>0</v>
      </c>
    </row>
    <row r="31" spans="1:18" x14ac:dyDescent="0.25">
      <c r="A31" s="10" t="s">
        <v>30</v>
      </c>
      <c r="B31" s="1">
        <f>((VLOOKUP($A31,Материал!$A$3:$J$68,3,FALSE))*B$69)+B$70</f>
        <v>7431.9267515923566</v>
      </c>
      <c r="C31" s="1">
        <f>((VLOOKUP($A31,Материал!$A$3:$J$68,3,FALSE))*C$69)+C$70</f>
        <v>7475.1194267515921</v>
      </c>
      <c r="D31" s="1">
        <f>((VLOOKUP($A31,Материал!$A$3:$J$68,3,FALSE))*D$69)+D$70</f>
        <v>7518.3121019108276</v>
      </c>
      <c r="E31" s="1">
        <f>((VLOOKUP($A31,Материал!$A$3:$J$68,3,FALSE))*E$69)+E$70</f>
        <v>7561.5047770700639</v>
      </c>
      <c r="F31" s="1">
        <f>((VLOOKUP($A31,Материал!$A$3:$J$68,3,FALSE))*F$69)+F$70</f>
        <v>7604.6974522292994</v>
      </c>
      <c r="G31" s="1">
        <f>((VLOOKUP($A31,Материал!$A$3:$J$68,3,FALSE))*G$69)+G$70</f>
        <v>7561.5047770700639</v>
      </c>
      <c r="H31" s="1">
        <f>((VLOOKUP($A31,Материал!$A$3:$J$68,3,FALSE))*H$69)+H$70</f>
        <v>15079.816878980891</v>
      </c>
      <c r="I31" s="1">
        <f>((VLOOKUP($A31,Материал!$A$3:$J$68,3,FALSE))*I$69)+I$70</f>
        <v>15123.009554140128</v>
      </c>
      <c r="J31" s="1">
        <f>((VLOOKUP($A31,Материал!$A$3:$J$68,3,FALSE))*J$69)+J$70</f>
        <v>15123.009554140128</v>
      </c>
      <c r="K31" s="1">
        <f>((VLOOKUP($A31,Материал!$A$3:$J$68,3,FALSE))*K$69)+K$70</f>
        <v>15036.624203821655</v>
      </c>
      <c r="L31" s="1">
        <f>((VLOOKUP($A31,Материал!$A$3:$J$68,3,FALSE))*L$69)+L$70</f>
        <v>15209.394904458599</v>
      </c>
      <c r="M31" s="1">
        <f>((VLOOKUP($A31,Материал!$A$3:$J$68,3,FALSE))*M$69)+M$70</f>
        <v>7362.8184713375795</v>
      </c>
      <c r="N31" s="1">
        <f>((VLOOKUP($A31,Материал!$A$3:$J$68,3,FALSE))*N$69)+N$70</f>
        <v>7362.8184713375795</v>
      </c>
      <c r="O31" s="1">
        <f>((VLOOKUP($A31,Материал!$A$3:$J$68,3,FALSE))*O$69)+O$70</f>
        <v>7362.8184713375795</v>
      </c>
      <c r="P31" s="28">
        <v>0</v>
      </c>
    </row>
    <row r="32" spans="1:18" x14ac:dyDescent="0.25">
      <c r="A32" s="10" t="s">
        <v>31</v>
      </c>
      <c r="B32" s="1">
        <f>((VLOOKUP($A32,Материал!$A$3:$J$68,3,FALSE))*B$69)+B$70</f>
        <v>7431.9267515923566</v>
      </c>
      <c r="C32" s="1">
        <f>((VLOOKUP($A32,Материал!$A$3:$J$68,3,FALSE))*C$69)+C$70</f>
        <v>7475.1194267515921</v>
      </c>
      <c r="D32" s="1">
        <f>((VLOOKUP($A32,Материал!$A$3:$J$68,3,FALSE))*D$69)+D$70</f>
        <v>7518.3121019108276</v>
      </c>
      <c r="E32" s="1">
        <f>((VLOOKUP($A32,Материал!$A$3:$J$68,3,FALSE))*E$69)+E$70</f>
        <v>7561.5047770700639</v>
      </c>
      <c r="F32" s="1">
        <f>((VLOOKUP($A32,Материал!$A$3:$J$68,3,FALSE))*F$69)+F$70</f>
        <v>7604.6974522292994</v>
      </c>
      <c r="G32" s="1">
        <f>((VLOOKUP($A32,Материал!$A$3:$J$68,3,FALSE))*G$69)+G$70</f>
        <v>7561.5047770700639</v>
      </c>
      <c r="H32" s="1">
        <f>((VLOOKUP($A32,Материал!$A$3:$J$68,3,FALSE))*H$69)+H$70</f>
        <v>15079.816878980891</v>
      </c>
      <c r="I32" s="1">
        <f>((VLOOKUP($A32,Материал!$A$3:$J$68,3,FALSE))*I$69)+I$70</f>
        <v>15123.009554140128</v>
      </c>
      <c r="J32" s="1">
        <f>((VLOOKUP($A32,Материал!$A$3:$J$68,3,FALSE))*J$69)+J$70</f>
        <v>15123.009554140128</v>
      </c>
      <c r="K32" s="1">
        <f>((VLOOKUP($A32,Материал!$A$3:$J$68,3,FALSE))*K$69)+K$70</f>
        <v>15036.624203821655</v>
      </c>
      <c r="L32" s="1">
        <f>((VLOOKUP($A32,Материал!$A$3:$J$68,3,FALSE))*L$69)+L$70</f>
        <v>15209.394904458599</v>
      </c>
      <c r="M32" s="1">
        <f>((VLOOKUP($A32,Материал!$A$3:$J$68,3,FALSE))*M$69)+M$70</f>
        <v>7362.8184713375795</v>
      </c>
      <c r="N32" s="1">
        <f>((VLOOKUP($A32,Материал!$A$3:$J$68,3,FALSE))*N$69)+N$70</f>
        <v>7362.8184713375795</v>
      </c>
      <c r="O32" s="1">
        <f>((VLOOKUP($A32,Материал!$A$3:$J$68,3,FALSE))*O$69)+O$70</f>
        <v>7362.8184713375795</v>
      </c>
      <c r="P32" s="28">
        <v>0</v>
      </c>
    </row>
    <row r="33" spans="1:16" x14ac:dyDescent="0.25">
      <c r="A33" s="170" t="s">
        <v>132</v>
      </c>
      <c r="B33" s="1">
        <f>((VLOOKUP($A33,Материал!$A$3:$J$68,3,FALSE))*B$69)+B$70</f>
        <v>7487.6592356687897</v>
      </c>
      <c r="C33" s="1">
        <f>((VLOOKUP($A33,Материал!$A$3:$J$68,3,FALSE))*C$69)+C$70</f>
        <v>7536.4251592356686</v>
      </c>
      <c r="D33" s="1">
        <f>((VLOOKUP($A33,Материал!$A$3:$J$68,3,FALSE))*D$69)+D$70</f>
        <v>7585.1910828025475</v>
      </c>
      <c r="E33" s="1">
        <f>((VLOOKUP($A33,Материал!$A$3:$J$68,3,FALSE))*E$69)+E$70</f>
        <v>7633.9570063694264</v>
      </c>
      <c r="F33" s="1">
        <f>((VLOOKUP($A33,Материал!$A$3:$J$68,3,FALSE))*F$69)+F$70</f>
        <v>7682.7229299363062</v>
      </c>
      <c r="G33" s="1">
        <f>((VLOOKUP($A33,Материал!$A$3:$J$68,3,FALSE))*G$69)+G$70</f>
        <v>7633.9570063694264</v>
      </c>
      <c r="H33" s="1">
        <f>((VLOOKUP($A33,Материал!$A$3:$J$68,3,FALSE))*H$69)+H$70</f>
        <v>15219.148089171975</v>
      </c>
      <c r="I33" s="1">
        <f>((VLOOKUP($A33,Материал!$A$3:$J$68,3,FALSE))*I$69)+I$70</f>
        <v>15267.914012738853</v>
      </c>
      <c r="J33" s="1">
        <f>((VLOOKUP($A33,Материал!$A$3:$J$68,3,FALSE))*J$69)+J$70</f>
        <v>15267.914012738853</v>
      </c>
      <c r="K33" s="1">
        <f>((VLOOKUP($A33,Материал!$A$3:$J$68,3,FALSE))*K$69)+K$70</f>
        <v>15170.382165605095</v>
      </c>
      <c r="L33" s="1">
        <f>((VLOOKUP($A33,Материал!$A$3:$J$68,3,FALSE))*L$69)+L$70</f>
        <v>15365.445859872612</v>
      </c>
      <c r="M33" s="1">
        <f>((VLOOKUP($A33,Материал!$A$3:$J$68,3,FALSE))*M$69)+M$70</f>
        <v>7409.633757961783</v>
      </c>
      <c r="N33" s="1">
        <f>((VLOOKUP($A33,Материал!$A$3:$J$68,3,FALSE))*N$69)+N$70</f>
        <v>7409.633757961783</v>
      </c>
      <c r="O33" s="1">
        <f>((VLOOKUP($A33,Материал!$A$3:$J$68,3,FALSE))*O$69)+O$70</f>
        <v>7409.633757961783</v>
      </c>
      <c r="P33" s="28">
        <v>0</v>
      </c>
    </row>
    <row r="34" spans="1:16" x14ac:dyDescent="0.25">
      <c r="A34" s="170" t="s">
        <v>275</v>
      </c>
      <c r="B34" s="1">
        <f>((VLOOKUP($A34,Материал!$A$3:$J$68,3,FALSE))*B$69)+B$70</f>
        <v>7487.6592356687897</v>
      </c>
      <c r="C34" s="1">
        <f>((VLOOKUP($A34,Материал!$A$3:$J$68,3,FALSE))*C$69)+C$70</f>
        <v>7536.4251592356686</v>
      </c>
      <c r="D34" s="1">
        <f>((VLOOKUP($A34,Материал!$A$3:$J$68,3,FALSE))*D$69)+D$70</f>
        <v>7585.1910828025475</v>
      </c>
      <c r="E34" s="1">
        <f>((VLOOKUP($A34,Материал!$A$3:$J$68,3,FALSE))*E$69)+E$70</f>
        <v>7633.9570063694264</v>
      </c>
      <c r="F34" s="1">
        <f>((VLOOKUP($A34,Материал!$A$3:$J$68,3,FALSE))*F$69)+F$70</f>
        <v>7682.7229299363062</v>
      </c>
      <c r="G34" s="1">
        <f>((VLOOKUP($A34,Материал!$A$3:$J$68,3,FALSE))*G$69)+G$70</f>
        <v>7633.9570063694264</v>
      </c>
      <c r="H34" s="1">
        <f>((VLOOKUP($A34,Материал!$A$3:$J$68,3,FALSE))*H$69)+H$70</f>
        <v>15219.148089171975</v>
      </c>
      <c r="I34" s="1">
        <f>((VLOOKUP($A34,Материал!$A$3:$J$68,3,FALSE))*I$69)+I$70</f>
        <v>15267.914012738853</v>
      </c>
      <c r="J34" s="1">
        <f>((VLOOKUP($A34,Материал!$A$3:$J$68,3,FALSE))*J$69)+J$70</f>
        <v>15267.914012738853</v>
      </c>
      <c r="K34" s="1">
        <f>((VLOOKUP($A34,Материал!$A$3:$J$68,3,FALSE))*K$69)+K$70</f>
        <v>15170.382165605095</v>
      </c>
      <c r="L34" s="1">
        <f>((VLOOKUP($A34,Материал!$A$3:$J$68,3,FALSE))*L$69)+L$70</f>
        <v>15365.445859872612</v>
      </c>
      <c r="M34" s="1">
        <f>((VLOOKUP($A34,Материал!$A$3:$J$68,3,FALSE))*M$69)+M$70</f>
        <v>7409.633757961783</v>
      </c>
      <c r="N34" s="1">
        <f>((VLOOKUP($A34,Материал!$A$3:$J$68,3,FALSE))*N$69)+N$70</f>
        <v>7409.633757961783</v>
      </c>
      <c r="O34" s="1">
        <f>((VLOOKUP($A34,Материал!$A$3:$J$68,3,FALSE))*O$69)+O$70</f>
        <v>7409.633757961783</v>
      </c>
      <c r="P34" s="28">
        <v>0</v>
      </c>
    </row>
    <row r="35" spans="1:16" x14ac:dyDescent="0.25">
      <c r="A35" s="6" t="s">
        <v>26</v>
      </c>
      <c r="B35" s="1">
        <f>((VLOOKUP($A35,Материал!$A$3:$J$68,3,FALSE))*B$69)+B$70</f>
        <v>7298.1687898089176</v>
      </c>
      <c r="C35" s="1">
        <f>((VLOOKUP($A35,Материал!$A$3:$J$68,3,FALSE))*C$69)+C$70</f>
        <v>7327.9856687898091</v>
      </c>
      <c r="D35" s="1">
        <f>((VLOOKUP($A35,Материал!$A$3:$J$68,3,FALSE))*D$69)+D$70</f>
        <v>7357.8025477707006</v>
      </c>
      <c r="E35" s="1">
        <f>((VLOOKUP($A35,Материал!$A$3:$J$68,3,FALSE))*E$69)+E$70</f>
        <v>7387.6194267515921</v>
      </c>
      <c r="F35" s="1">
        <f>((VLOOKUP($A35,Материал!$A$3:$J$68,3,FALSE))*F$69)+F$70</f>
        <v>7417.4363057324845</v>
      </c>
      <c r="G35" s="1">
        <f>((VLOOKUP($A35,Материал!$A$3:$J$68,3,FALSE))*G$69)+G$70</f>
        <v>7387.6194267515921</v>
      </c>
      <c r="H35" s="1">
        <f>((VLOOKUP($A35,Материал!$A$3:$J$68,3,FALSE))*H$69)+H$70</f>
        <v>14745.421974522293</v>
      </c>
      <c r="I35" s="1">
        <f>((VLOOKUP($A35,Материал!$A$3:$J$68,3,FALSE))*I$69)+I$70</f>
        <v>14775.238853503184</v>
      </c>
      <c r="J35" s="1">
        <f>((VLOOKUP($A35,Материал!$A$3:$J$68,3,FALSE))*J$69)+J$70</f>
        <v>14775.238853503184</v>
      </c>
      <c r="K35" s="1">
        <f>((VLOOKUP($A35,Материал!$A$3:$J$68,3,FALSE))*K$69)+K$70</f>
        <v>14715.605095541401</v>
      </c>
      <c r="L35" s="1">
        <f>((VLOOKUP($A35,Материал!$A$3:$J$68,3,FALSE))*L$69)+L$70</f>
        <v>14834.872611464969</v>
      </c>
      <c r="M35" s="1">
        <f>((VLOOKUP($A35,Материал!$A$3:$J$68,3,FALSE))*M$69)+M$70</f>
        <v>7250.4617834394903</v>
      </c>
      <c r="N35" s="1">
        <f>((VLOOKUP($A35,Материал!$A$3:$J$68,3,FALSE))*N$69)+N$70</f>
        <v>7250.4617834394903</v>
      </c>
      <c r="O35" s="1">
        <f>((VLOOKUP($A35,Материал!$A$3:$J$68,3,FALSE))*O$69)+O$70</f>
        <v>7250.4617834394903</v>
      </c>
      <c r="P35" s="28">
        <v>0</v>
      </c>
    </row>
    <row r="36" spans="1:16" x14ac:dyDescent="0.25">
      <c r="A36" s="6" t="s">
        <v>27</v>
      </c>
      <c r="B36" s="1">
        <f>((VLOOKUP($A36,Материал!$A$3:$J$68,3,FALSE))*B$69)+B$70</f>
        <v>7328.8216560509554</v>
      </c>
      <c r="C36" s="1">
        <f>((VLOOKUP($A36,Материал!$A$3:$J$68,3,FALSE))*C$69)+C$70</f>
        <v>7361.7038216560513</v>
      </c>
      <c r="D36" s="1">
        <f>((VLOOKUP($A36,Материал!$A$3:$J$68,3,FALSE))*D$69)+D$70</f>
        <v>7394.5859872611463</v>
      </c>
      <c r="E36" s="1">
        <f>((VLOOKUP($A36,Материал!$A$3:$J$68,3,FALSE))*E$69)+E$70</f>
        <v>7427.4681528662422</v>
      </c>
      <c r="F36" s="1">
        <f>((VLOOKUP($A36,Материал!$A$3:$J$68,3,FALSE))*F$69)+F$70</f>
        <v>7460.3503184713372</v>
      </c>
      <c r="G36" s="1">
        <f>((VLOOKUP($A36,Материал!$A$3:$J$68,3,FALSE))*G$69)+G$70</f>
        <v>7427.4681528662422</v>
      </c>
      <c r="H36" s="1">
        <f>((VLOOKUP($A36,Материал!$A$3:$J$68,3,FALSE))*H$69)+H$70</f>
        <v>14822.054140127388</v>
      </c>
      <c r="I36" s="1">
        <f>((VLOOKUP($A36,Материал!$A$3:$J$68,3,FALSE))*I$69)+I$70</f>
        <v>14854.936305732484</v>
      </c>
      <c r="J36" s="1">
        <f>((VLOOKUP($A36,Материал!$A$3:$J$68,3,FALSE))*J$69)+J$70</f>
        <v>14854.936305732484</v>
      </c>
      <c r="K36" s="1">
        <f>((VLOOKUP($A36,Материал!$A$3:$J$68,3,FALSE))*K$69)+K$70</f>
        <v>14789.171974522293</v>
      </c>
      <c r="L36" s="1">
        <f>((VLOOKUP($A36,Материал!$A$3:$J$68,3,FALSE))*L$69)+L$70</f>
        <v>14920.700636942674</v>
      </c>
      <c r="M36" s="1">
        <f>((VLOOKUP($A36,Материал!$A$3:$J$68,3,FALSE))*M$69)+M$70</f>
        <v>7276.2101910828023</v>
      </c>
      <c r="N36" s="1">
        <f>((VLOOKUP($A36,Материал!$A$3:$J$68,3,FALSE))*N$69)+N$70</f>
        <v>7276.2101910828023</v>
      </c>
      <c r="O36" s="1">
        <f>((VLOOKUP($A36,Материал!$A$3:$J$68,3,FALSE))*O$69)+O$70</f>
        <v>7276.2101910828023</v>
      </c>
      <c r="P36" s="28">
        <v>0</v>
      </c>
    </row>
    <row r="37" spans="1:16" x14ac:dyDescent="0.25">
      <c r="A37" s="6" t="s">
        <v>28</v>
      </c>
      <c r="B37" s="1">
        <f>((VLOOKUP($A37,Материал!$A$3:$J$68,3,FALSE))*B$69)+B$70</f>
        <v>7339.9681528662422</v>
      </c>
      <c r="C37" s="1">
        <f>((VLOOKUP($A37,Материал!$A$3:$J$68,3,FALSE))*C$69)+C$70</f>
        <v>7373.9649681528663</v>
      </c>
      <c r="D37" s="1">
        <f>((VLOOKUP($A37,Материал!$A$3:$J$68,3,FALSE))*D$69)+D$70</f>
        <v>7407.9617834394903</v>
      </c>
      <c r="E37" s="1">
        <f>((VLOOKUP($A37,Материал!$A$3:$J$68,3,FALSE))*E$69)+E$70</f>
        <v>7441.9585987261144</v>
      </c>
      <c r="F37" s="1">
        <f>((VLOOKUP($A37,Материал!$A$3:$J$68,3,FALSE))*F$69)+F$70</f>
        <v>7475.9554140127384</v>
      </c>
      <c r="G37" s="1">
        <f>((VLOOKUP($A37,Материал!$A$3:$J$68,3,FALSE))*G$69)+G$70</f>
        <v>7441.9585987261144</v>
      </c>
      <c r="H37" s="1">
        <f>((VLOOKUP($A37,Материал!$A$3:$J$68,3,FALSE))*H$69)+H$70</f>
        <v>14849.920382165605</v>
      </c>
      <c r="I37" s="1">
        <f>((VLOOKUP($A37,Материал!$A$3:$J$68,3,FALSE))*I$69)+I$70</f>
        <v>14883.917197452229</v>
      </c>
      <c r="J37" s="1">
        <f>((VLOOKUP($A37,Материал!$A$3:$J$68,3,FALSE))*J$69)+J$70</f>
        <v>14883.917197452229</v>
      </c>
      <c r="K37" s="1">
        <f>((VLOOKUP($A37,Материал!$A$3:$J$68,3,FALSE))*K$69)+K$70</f>
        <v>14815.923566878981</v>
      </c>
      <c r="L37" s="1">
        <f>((VLOOKUP($A37,Материал!$A$3:$J$68,3,FALSE))*L$69)+L$70</f>
        <v>14951.910828025477</v>
      </c>
      <c r="M37" s="1">
        <f>((VLOOKUP($A37,Материал!$A$3:$J$68,3,FALSE))*M$69)+M$70</f>
        <v>7285.5732484076434</v>
      </c>
      <c r="N37" s="1">
        <f>((VLOOKUP($A37,Материал!$A$3:$J$68,3,FALSE))*N$69)+N$70</f>
        <v>7285.5732484076434</v>
      </c>
      <c r="O37" s="1">
        <f>((VLOOKUP($A37,Материал!$A$3:$J$68,3,FALSE))*O$69)+O$70</f>
        <v>7285.5732484076434</v>
      </c>
      <c r="P37" s="28">
        <v>0</v>
      </c>
    </row>
    <row r="38" spans="1:16" x14ac:dyDescent="0.25">
      <c r="A38" s="6" t="s">
        <v>29</v>
      </c>
      <c r="B38" s="1">
        <f>((VLOOKUP($A38,Материал!$A$3:$J$68,3,FALSE))*B$69)+B$70</f>
        <v>7359.4745222929932</v>
      </c>
      <c r="C38" s="1">
        <f>((VLOOKUP($A38,Материал!$A$3:$J$68,3,FALSE))*C$69)+C$70</f>
        <v>7395.4219745222927</v>
      </c>
      <c r="D38" s="1">
        <f>((VLOOKUP($A38,Материал!$A$3:$J$68,3,FALSE))*D$69)+D$70</f>
        <v>7431.3694267515921</v>
      </c>
      <c r="E38" s="1">
        <f>((VLOOKUP($A38,Материал!$A$3:$J$68,3,FALSE))*E$69)+E$70</f>
        <v>7467.3168789808915</v>
      </c>
      <c r="F38" s="1">
        <f>((VLOOKUP($A38,Материал!$A$3:$J$68,3,FALSE))*F$69)+F$70</f>
        <v>7503.2643312101909</v>
      </c>
      <c r="G38" s="1">
        <f>((VLOOKUP($A38,Материал!$A$3:$J$68,3,FALSE))*G$69)+G$70</f>
        <v>7467.3168789808915</v>
      </c>
      <c r="H38" s="1">
        <f>((VLOOKUP($A38,Материал!$A$3:$J$68,3,FALSE))*H$69)+H$70</f>
        <v>14898.686305732484</v>
      </c>
      <c r="I38" s="1">
        <f>((VLOOKUP($A38,Материал!$A$3:$J$68,3,FALSE))*I$69)+I$70</f>
        <v>14934.633757961783</v>
      </c>
      <c r="J38" s="1">
        <f>((VLOOKUP($A38,Материал!$A$3:$J$68,3,FALSE))*J$69)+J$70</f>
        <v>14934.633757961783</v>
      </c>
      <c r="K38" s="1">
        <f>((VLOOKUP($A38,Материал!$A$3:$J$68,3,FALSE))*K$69)+K$70</f>
        <v>14862.738853503184</v>
      </c>
      <c r="L38" s="1">
        <f>((VLOOKUP($A38,Материал!$A$3:$J$68,3,FALSE))*L$69)+L$70</f>
        <v>15006.528662420382</v>
      </c>
      <c r="M38" s="1">
        <f>((VLOOKUP($A38,Материал!$A$3:$J$68,3,FALSE))*M$69)+M$70</f>
        <v>7301.9585987261144</v>
      </c>
      <c r="N38" s="1">
        <f>((VLOOKUP($A38,Материал!$A$3:$J$68,3,FALSE))*N$69)+N$70</f>
        <v>7301.9585987261144</v>
      </c>
      <c r="O38" s="1">
        <f>((VLOOKUP($A38,Материал!$A$3:$J$68,3,FALSE))*O$69)+O$70</f>
        <v>7301.9585987261144</v>
      </c>
      <c r="P38" s="28">
        <v>0</v>
      </c>
    </row>
    <row r="39" spans="1:16" x14ac:dyDescent="0.25">
      <c r="A39" s="6" t="s">
        <v>193</v>
      </c>
      <c r="B39" s="1">
        <f>((VLOOKUP($A39,Материал!$A$3:$J$68,3,FALSE))*B$69)+B$70</f>
        <v>7398.4872611464971</v>
      </c>
      <c r="C39" s="1">
        <f>((VLOOKUP($A39,Материал!$A$3:$J$68,3,FALSE))*C$69)+C$70</f>
        <v>7438.3359872611463</v>
      </c>
      <c r="D39" s="1">
        <f>((VLOOKUP($A39,Материал!$A$3:$J$68,3,FALSE))*D$69)+D$70</f>
        <v>7478.1847133757965</v>
      </c>
      <c r="E39" s="1">
        <f>((VLOOKUP($A39,Материал!$A$3:$J$68,3,FALSE))*E$69)+E$70</f>
        <v>7518.0334394904457</v>
      </c>
      <c r="F39" s="1">
        <f>((VLOOKUP($A39,Материал!$A$3:$J$68,3,FALSE))*F$69)+F$70</f>
        <v>7557.882165605095</v>
      </c>
      <c r="G39" s="1">
        <f>((VLOOKUP($A39,Материал!$A$3:$J$68,3,FALSE))*G$69)+G$70</f>
        <v>7518.0334394904457</v>
      </c>
      <c r="H39" s="1">
        <f>((VLOOKUP($A39,Материал!$A$3:$J$68,3,FALSE))*H$69)+H$70</f>
        <v>14996.218152866242</v>
      </c>
      <c r="I39" s="1">
        <f>((VLOOKUP($A39,Материал!$A$3:$J$68,3,FALSE))*I$69)+I$70</f>
        <v>15036.066878980891</v>
      </c>
      <c r="J39" s="1">
        <f>((VLOOKUP($A39,Материал!$A$3:$J$68,3,FALSE))*J$69)+J$70</f>
        <v>15036.066878980891</v>
      </c>
      <c r="K39" s="1">
        <f>((VLOOKUP($A39,Материал!$A$3:$J$68,3,FALSE))*K$69)+K$70</f>
        <v>14956.369426751593</v>
      </c>
      <c r="L39" s="1">
        <f>((VLOOKUP($A39,Материал!$A$3:$J$68,3,FALSE))*L$69)+L$70</f>
        <v>15115.76433121019</v>
      </c>
      <c r="M39" s="1">
        <f>((VLOOKUP($A39,Материал!$A$3:$J$68,3,FALSE))*M$69)+M$70</f>
        <v>7334.7292993630572</v>
      </c>
      <c r="N39" s="1">
        <f>((VLOOKUP($A39,Материал!$A$3:$J$68,3,FALSE))*N$69)+N$70</f>
        <v>7334.7292993630572</v>
      </c>
      <c r="O39" s="1">
        <f>((VLOOKUP($A39,Материал!$A$3:$J$68,3,FALSE))*O$69)+O$70</f>
        <v>7334.7292993630572</v>
      </c>
      <c r="P39" s="28">
        <v>0</v>
      </c>
    </row>
    <row r="40" spans="1:16" x14ac:dyDescent="0.25">
      <c r="A40" s="36" t="s">
        <v>194</v>
      </c>
      <c r="B40" s="1">
        <f>((VLOOKUP($A40,Материал!$A$3:$J$68,3,FALSE))*B$69)+B$70</f>
        <v>7448.6464968152868</v>
      </c>
      <c r="C40" s="1">
        <f>((VLOOKUP($A40,Материал!$A$3:$J$68,3,FALSE))*C$69)+C$70</f>
        <v>7493.5111464968149</v>
      </c>
      <c r="D40" s="1">
        <f>((VLOOKUP($A40,Материал!$A$3:$J$68,3,FALSE))*D$69)+D$70</f>
        <v>7538.375796178344</v>
      </c>
      <c r="E40" s="1">
        <f>((VLOOKUP($A40,Материал!$A$3:$J$68,3,FALSE))*E$69)+E$70</f>
        <v>7583.240445859873</v>
      </c>
      <c r="F40" s="1">
        <f>((VLOOKUP($A40,Материал!$A$3:$J$68,3,FALSE))*F$69)+F$70</f>
        <v>7628.1050955414012</v>
      </c>
      <c r="G40" s="1">
        <f>((VLOOKUP($A40,Материал!$A$3:$J$68,3,FALSE))*G$69)+G$70</f>
        <v>7583.240445859873</v>
      </c>
      <c r="H40" s="1">
        <f>((VLOOKUP($A40,Материал!$A$3:$J$68,3,FALSE))*H$69)+H$70</f>
        <v>15121.616242038217</v>
      </c>
      <c r="I40" s="1">
        <f>((VLOOKUP($A40,Материал!$A$3:$J$68,3,FALSE))*I$69)+I$70</f>
        <v>15166.480891719746</v>
      </c>
      <c r="J40" s="1">
        <f>((VLOOKUP($A40,Материал!$A$3:$J$68,3,FALSE))*J$69)+J$70</f>
        <v>15166.480891719746</v>
      </c>
      <c r="K40" s="1">
        <f>((VLOOKUP($A40,Материал!$A$3:$J$68,3,FALSE))*K$69)+K$70</f>
        <v>15076.751592356688</v>
      </c>
      <c r="L40" s="1">
        <f>((VLOOKUP($A40,Материал!$A$3:$J$68,3,FALSE))*L$69)+L$70</f>
        <v>15256.210191082802</v>
      </c>
      <c r="M40" s="1">
        <f>((VLOOKUP($A40,Материал!$A$3:$J$68,3,FALSE))*M$69)+M$70</f>
        <v>7376.8630573248411</v>
      </c>
      <c r="N40" s="1">
        <f>((VLOOKUP($A40,Материал!$A$3:$J$68,3,FALSE))*N$69)+N$70</f>
        <v>7376.8630573248411</v>
      </c>
      <c r="O40" s="1">
        <f>((VLOOKUP($A40,Материал!$A$3:$J$68,3,FALSE))*O$69)+O$70</f>
        <v>7376.8630573248411</v>
      </c>
      <c r="P40" s="28">
        <v>0</v>
      </c>
    </row>
    <row r="41" spans="1:16" x14ac:dyDescent="0.25">
      <c r="A41" s="36" t="s">
        <v>195</v>
      </c>
      <c r="B41" s="1">
        <f>((VLOOKUP($A41,Материал!$A$3:$J$68,3,FALSE))*B$69)+B$70</f>
        <v>7468.1528662420378</v>
      </c>
      <c r="C41" s="1">
        <f>((VLOOKUP($A41,Материал!$A$3:$J$68,3,FALSE))*C$69)+C$70</f>
        <v>7514.9681528662422</v>
      </c>
      <c r="D41" s="1">
        <f>((VLOOKUP($A41,Материал!$A$3:$J$68,3,FALSE))*D$69)+D$70</f>
        <v>7561.7834394904457</v>
      </c>
      <c r="E41" s="1">
        <f>((VLOOKUP($A41,Материал!$A$3:$J$68,3,FALSE))*E$69)+E$70</f>
        <v>7608.5987261146493</v>
      </c>
      <c r="F41" s="1">
        <f>((VLOOKUP($A41,Материал!$A$3:$J$68,3,FALSE))*F$69)+F$70</f>
        <v>7655.4140127388537</v>
      </c>
      <c r="G41" s="1">
        <f>((VLOOKUP($A41,Материал!$A$3:$J$68,3,FALSE))*G$69)+G$70</f>
        <v>7608.5987261146493</v>
      </c>
      <c r="H41" s="1">
        <f>((VLOOKUP($A41,Материал!$A$3:$J$68,3,FALSE))*H$69)+H$70</f>
        <v>15170.382165605095</v>
      </c>
      <c r="I41" s="1">
        <f>((VLOOKUP($A41,Материал!$A$3:$J$68,3,FALSE))*I$69)+I$70</f>
        <v>15217.197452229299</v>
      </c>
      <c r="J41" s="1">
        <f>((VLOOKUP($A41,Материал!$A$3:$J$68,3,FALSE))*J$69)+J$70</f>
        <v>15217.197452229299</v>
      </c>
      <c r="K41" s="1">
        <f>((VLOOKUP($A41,Материал!$A$3:$J$68,3,FALSE))*K$69)+K$70</f>
        <v>15123.566878980891</v>
      </c>
      <c r="L41" s="1">
        <f>((VLOOKUP($A41,Материал!$A$3:$J$68,3,FALSE))*L$69)+L$70</f>
        <v>15310.828025477707</v>
      </c>
      <c r="M41" s="1">
        <f>((VLOOKUP($A41,Материал!$A$3:$J$68,3,FALSE))*M$69)+M$70</f>
        <v>7393.248407643312</v>
      </c>
      <c r="N41" s="1">
        <f>((VLOOKUP($A41,Материал!$A$3:$J$68,3,FALSE))*N$69)+N$70</f>
        <v>7393.248407643312</v>
      </c>
      <c r="O41" s="1">
        <f>((VLOOKUP($A41,Материал!$A$3:$J$68,3,FALSE))*O$69)+O$70</f>
        <v>7393.248407643312</v>
      </c>
      <c r="P41" s="28">
        <v>0</v>
      </c>
    </row>
    <row r="42" spans="1:16" x14ac:dyDescent="0.25">
      <c r="A42" s="6" t="s">
        <v>37</v>
      </c>
      <c r="B42" s="2" t="s">
        <v>84</v>
      </c>
      <c r="C42" s="2" t="s">
        <v>84</v>
      </c>
      <c r="D42" s="2" t="s">
        <v>84</v>
      </c>
      <c r="E42" s="2" t="s">
        <v>84</v>
      </c>
      <c r="F42" s="2" t="s">
        <v>84</v>
      </c>
      <c r="G42" s="2" t="s">
        <v>84</v>
      </c>
      <c r="H42" s="2" t="s">
        <v>84</v>
      </c>
      <c r="I42" s="2" t="s">
        <v>84</v>
      </c>
      <c r="J42" s="2" t="s">
        <v>84</v>
      </c>
      <c r="K42" s="2" t="s">
        <v>84</v>
      </c>
      <c r="L42" s="2" t="s">
        <v>84</v>
      </c>
      <c r="M42" s="2" t="s">
        <v>84</v>
      </c>
      <c r="N42" s="2" t="s">
        <v>84</v>
      </c>
      <c r="O42" s="2" t="s">
        <v>84</v>
      </c>
      <c r="P42" s="28">
        <v>0</v>
      </c>
    </row>
    <row r="43" spans="1:16" x14ac:dyDescent="0.25">
      <c r="A43" s="6" t="s">
        <v>38</v>
      </c>
      <c r="B43" s="2" t="s">
        <v>84</v>
      </c>
      <c r="C43" s="2" t="s">
        <v>84</v>
      </c>
      <c r="D43" s="2" t="s">
        <v>84</v>
      </c>
      <c r="E43" s="2" t="s">
        <v>84</v>
      </c>
      <c r="F43" s="2" t="s">
        <v>84</v>
      </c>
      <c r="G43" s="2" t="s">
        <v>84</v>
      </c>
      <c r="H43" s="2" t="s">
        <v>84</v>
      </c>
      <c r="I43" s="2" t="s">
        <v>84</v>
      </c>
      <c r="J43" s="2" t="s">
        <v>84</v>
      </c>
      <c r="K43" s="2" t="s">
        <v>84</v>
      </c>
      <c r="L43" s="2" t="s">
        <v>84</v>
      </c>
      <c r="M43" s="2" t="s">
        <v>84</v>
      </c>
      <c r="N43" s="2" t="s">
        <v>84</v>
      </c>
      <c r="O43" s="2" t="s">
        <v>84</v>
      </c>
      <c r="P43" s="28">
        <v>0</v>
      </c>
    </row>
    <row r="44" spans="1:16" x14ac:dyDescent="0.25">
      <c r="A44" s="6" t="s">
        <v>39</v>
      </c>
      <c r="B44" s="2" t="s">
        <v>84</v>
      </c>
      <c r="C44" s="2" t="s">
        <v>84</v>
      </c>
      <c r="D44" s="2" t="s">
        <v>84</v>
      </c>
      <c r="E44" s="2" t="s">
        <v>84</v>
      </c>
      <c r="F44" s="2" t="s">
        <v>84</v>
      </c>
      <c r="G44" s="2" t="s">
        <v>84</v>
      </c>
      <c r="H44" s="2" t="s">
        <v>84</v>
      </c>
      <c r="I44" s="2" t="s">
        <v>84</v>
      </c>
      <c r="J44" s="2" t="s">
        <v>84</v>
      </c>
      <c r="K44" s="2" t="s">
        <v>84</v>
      </c>
      <c r="L44" s="2" t="s">
        <v>84</v>
      </c>
      <c r="M44" s="2" t="s">
        <v>84</v>
      </c>
      <c r="N44" s="2" t="s">
        <v>84</v>
      </c>
      <c r="O44" s="2" t="s">
        <v>84</v>
      </c>
      <c r="P44" s="28">
        <v>0</v>
      </c>
    </row>
    <row r="45" spans="1:16" x14ac:dyDescent="0.25">
      <c r="A45" s="36" t="s">
        <v>276</v>
      </c>
      <c r="B45" s="1">
        <f>((VLOOKUP($A45,Материал!$A$3:$J$68,3,FALSE))*B$69)+B$70</f>
        <v>7195.0636942675155</v>
      </c>
      <c r="C45" s="1">
        <f>((VLOOKUP($A45,Материал!$A$3:$J$68,3,FALSE))*C$69)+C$70</f>
        <v>7214.5700636942674</v>
      </c>
      <c r="D45" s="1">
        <f>((VLOOKUP($A45,Материал!$A$3:$J$68,3,FALSE))*D$69)+D$70</f>
        <v>7234.0764331210194</v>
      </c>
      <c r="E45" s="1">
        <f>((VLOOKUP($A45,Материал!$A$3:$J$68,3,FALSE))*E$69)+E$70</f>
        <v>7253.5828025477704</v>
      </c>
      <c r="F45" s="1">
        <f>((VLOOKUP($A45,Материал!$A$3:$J$68,3,FALSE))*F$69)+F$70</f>
        <v>7273.0891719745223</v>
      </c>
      <c r="G45" s="1">
        <f>((VLOOKUP($A45,Материал!$A$3:$J$68,3,FALSE))*G$69)+G$70</f>
        <v>7253.5828025477704</v>
      </c>
      <c r="H45" s="1">
        <f>((VLOOKUP($A45,Материал!$A$3:$J$68,3,FALSE))*H$69)+H$70</f>
        <v>14487.659235668791</v>
      </c>
      <c r="I45" s="1">
        <f>((VLOOKUP($A45,Материал!$A$3:$J$68,3,FALSE))*I$69)+I$70</f>
        <v>14507.165605095541</v>
      </c>
      <c r="J45" s="1">
        <f>((VLOOKUP($A45,Материал!$A$3:$J$68,3,FALSE))*J$69)+J$70</f>
        <v>14507.165605095541</v>
      </c>
      <c r="K45" s="1">
        <f>((VLOOKUP($A45,Материал!$A$3:$J$68,3,FALSE))*K$69)+K$70</f>
        <v>14468.152866242039</v>
      </c>
      <c r="L45" s="1">
        <f>((VLOOKUP($A45,Материал!$A$3:$J$68,3,FALSE))*L$69)+L$70</f>
        <v>14546.178343949045</v>
      </c>
      <c r="M45" s="1">
        <f>((VLOOKUP($A45,Материал!$A$3:$J$68,3,FALSE))*M$69)+M$70</f>
        <v>7163.8535031847132</v>
      </c>
      <c r="N45" s="1">
        <f>((VLOOKUP($A45,Материал!$A$3:$J$68,3,FALSE))*N$69)+N$70</f>
        <v>7163.8535031847132</v>
      </c>
      <c r="O45" s="1">
        <f>((VLOOKUP($A45,Материал!$A$3:$J$68,3,FALSE))*O$69)+O$70</f>
        <v>7163.8535031847132</v>
      </c>
      <c r="P45" s="28">
        <v>0</v>
      </c>
    </row>
    <row r="46" spans="1:16" x14ac:dyDescent="0.25">
      <c r="A46" s="36" t="s">
        <v>277</v>
      </c>
      <c r="B46" s="1">
        <f>((VLOOKUP($A46,Материал!$A$3:$J$68,3,FALSE))*B$69)+B$70</f>
        <v>7217.3566878980891</v>
      </c>
      <c r="C46" s="1">
        <f>((VLOOKUP($A46,Материал!$A$3:$J$68,3,FALSE))*C$69)+C$70</f>
        <v>7239.0923566878982</v>
      </c>
      <c r="D46" s="1">
        <f>((VLOOKUP($A46,Материал!$A$3:$J$68,3,FALSE))*D$69)+D$70</f>
        <v>7260.8280254777073</v>
      </c>
      <c r="E46" s="1">
        <f>((VLOOKUP($A46,Материал!$A$3:$J$68,3,FALSE))*E$69)+E$70</f>
        <v>7282.5636942675155</v>
      </c>
      <c r="F46" s="1">
        <f>((VLOOKUP($A46,Материал!$A$3:$J$68,3,FALSE))*F$69)+F$70</f>
        <v>7304.2993630573246</v>
      </c>
      <c r="G46" s="1">
        <f>((VLOOKUP($A46,Материал!$A$3:$J$68,3,FALSE))*G$69)+G$70</f>
        <v>7282.5636942675155</v>
      </c>
      <c r="H46" s="1">
        <f>((VLOOKUP($A46,Материал!$A$3:$J$68,3,FALSE))*H$69)+H$70</f>
        <v>14543.391719745223</v>
      </c>
      <c r="I46" s="1">
        <f>((VLOOKUP($A46,Материал!$A$3:$J$68,3,FALSE))*I$69)+I$70</f>
        <v>14565.127388535031</v>
      </c>
      <c r="J46" s="1">
        <f>((VLOOKUP($A46,Материал!$A$3:$J$68,3,FALSE))*J$69)+J$70</f>
        <v>14565.127388535031</v>
      </c>
      <c r="K46" s="1">
        <f>((VLOOKUP($A46,Материал!$A$3:$J$68,3,FALSE))*K$69)+K$70</f>
        <v>14521.656050955415</v>
      </c>
      <c r="L46" s="1">
        <f>((VLOOKUP($A46,Материал!$A$3:$J$68,3,FALSE))*L$69)+L$70</f>
        <v>14608.598726114649</v>
      </c>
      <c r="M46" s="1">
        <f>((VLOOKUP($A46,Материал!$A$3:$J$68,3,FALSE))*M$69)+M$70</f>
        <v>7182.5796178343953</v>
      </c>
      <c r="N46" s="1">
        <f>((VLOOKUP($A46,Материал!$A$3:$J$68,3,FALSE))*N$69)+N$70</f>
        <v>7182.5796178343953</v>
      </c>
      <c r="O46" s="1">
        <f>((VLOOKUP($A46,Материал!$A$3:$J$68,3,FALSE))*O$69)+O$70</f>
        <v>7182.5796178343953</v>
      </c>
      <c r="P46" s="28">
        <v>0</v>
      </c>
    </row>
    <row r="47" spans="1:16" x14ac:dyDescent="0.25">
      <c r="A47" s="36" t="s">
        <v>155</v>
      </c>
      <c r="B47" s="1">
        <f>((VLOOKUP($A47,Материал!$A$3:$J$68,3,FALSE))*B$69)+B$70</f>
        <v>7236.8630573248411</v>
      </c>
      <c r="C47" s="1">
        <f>((VLOOKUP($A47,Материал!$A$3:$J$68,3,FALSE))*C$69)+C$70</f>
        <v>7260.5493630573246</v>
      </c>
      <c r="D47" s="1">
        <f>((VLOOKUP($A47,Материал!$A$3:$J$68,3,FALSE))*D$69)+D$70</f>
        <v>7284.2356687898091</v>
      </c>
      <c r="E47" s="1">
        <f>((VLOOKUP($A47,Материал!$A$3:$J$68,3,FALSE))*E$69)+E$70</f>
        <v>7307.9219745222927</v>
      </c>
      <c r="F47" s="1">
        <f>((VLOOKUP($A47,Материал!$A$3:$J$68,3,FALSE))*F$69)+F$70</f>
        <v>7331.6082802547771</v>
      </c>
      <c r="G47" s="1">
        <f>((VLOOKUP($A47,Материал!$A$3:$J$68,3,FALSE))*G$69)+G$70</f>
        <v>7307.9219745222927</v>
      </c>
      <c r="H47" s="1">
        <f>((VLOOKUP($A47,Материал!$A$3:$J$68,3,FALSE))*H$69)+H$70</f>
        <v>14592.157643312103</v>
      </c>
      <c r="I47" s="1">
        <f>((VLOOKUP($A47,Материал!$A$3:$J$68,3,FALSE))*I$69)+I$70</f>
        <v>14615.843949044585</v>
      </c>
      <c r="J47" s="1">
        <f>((VLOOKUP($A47,Материал!$A$3:$J$68,3,FALSE))*J$69)+J$70</f>
        <v>14615.843949044585</v>
      </c>
      <c r="K47" s="1">
        <f>((VLOOKUP($A47,Материал!$A$3:$J$68,3,FALSE))*K$69)+K$70</f>
        <v>14568.471337579618</v>
      </c>
      <c r="L47" s="1">
        <f>((VLOOKUP($A47,Материал!$A$3:$J$68,3,FALSE))*L$69)+L$70</f>
        <v>14663.216560509554</v>
      </c>
      <c r="M47" s="1">
        <f>((VLOOKUP($A47,Материал!$A$3:$J$68,3,FALSE))*M$69)+M$70</f>
        <v>7198.9649681528663</v>
      </c>
      <c r="N47" s="1">
        <f>((VLOOKUP($A47,Материал!$A$3:$J$68,3,FALSE))*N$69)+N$70</f>
        <v>7198.9649681528663</v>
      </c>
      <c r="O47" s="1">
        <f>((VLOOKUP($A47,Материал!$A$3:$J$68,3,FALSE))*O$69)+O$70</f>
        <v>7198.9649681528663</v>
      </c>
      <c r="P47" s="28">
        <v>0</v>
      </c>
    </row>
    <row r="48" spans="1:16" x14ac:dyDescent="0.25">
      <c r="A48" s="36" t="s">
        <v>179</v>
      </c>
      <c r="B48" s="1">
        <f>((VLOOKUP($A48,Материал!$A$3:$J$68,3,FALSE))*B$69)+B$70</f>
        <v>7245.2229299363062</v>
      </c>
      <c r="C48" s="1">
        <f>((VLOOKUP($A48,Материал!$A$3:$J$68,3,FALSE))*C$69)+C$70</f>
        <v>7269.7452229299361</v>
      </c>
      <c r="D48" s="1">
        <f>((VLOOKUP($A48,Материал!$A$3:$J$68,3,FALSE))*D$69)+D$70</f>
        <v>7294.2675159235669</v>
      </c>
      <c r="E48" s="1">
        <f>((VLOOKUP($A48,Материал!$A$3:$J$68,3,FALSE))*E$69)+E$70</f>
        <v>7318.7898089171977</v>
      </c>
      <c r="F48" s="1">
        <f>((VLOOKUP($A48,Материал!$A$3:$J$68,3,FALSE))*F$69)+F$70</f>
        <v>7343.3121019108276</v>
      </c>
      <c r="G48" s="1">
        <f>((VLOOKUP($A48,Материал!$A$3:$J$68,3,FALSE))*G$69)+G$70</f>
        <v>7318.7898089171977</v>
      </c>
      <c r="H48" s="1">
        <f>((VLOOKUP($A48,Материал!$A$3:$J$68,3,FALSE))*H$69)+H$70</f>
        <v>14613.057324840764</v>
      </c>
      <c r="I48" s="1">
        <f>((VLOOKUP($A48,Материал!$A$3:$J$68,3,FALSE))*I$69)+I$70</f>
        <v>14637.579617834395</v>
      </c>
      <c r="J48" s="1">
        <f>((VLOOKUP($A48,Материал!$A$3:$J$68,3,FALSE))*J$69)+J$70</f>
        <v>14637.579617834395</v>
      </c>
      <c r="K48" s="1">
        <f>((VLOOKUP($A48,Материал!$A$3:$J$68,3,FALSE))*K$69)+K$70</f>
        <v>14588.535031847134</v>
      </c>
      <c r="L48" s="1">
        <f>((VLOOKUP($A48,Материал!$A$3:$J$68,3,FALSE))*L$69)+L$70</f>
        <v>14686.624203821655</v>
      </c>
      <c r="M48" s="1">
        <f>((VLOOKUP($A48,Материал!$A$3:$J$68,3,FALSE))*M$69)+M$70</f>
        <v>7205.9872611464971</v>
      </c>
      <c r="N48" s="1">
        <f>((VLOOKUP($A48,Материал!$A$3:$J$68,3,FALSE))*N$69)+N$70</f>
        <v>7205.9872611464971</v>
      </c>
      <c r="O48" s="1">
        <f>((VLOOKUP($A48,Материал!$A$3:$J$68,3,FALSE))*O$69)+O$70</f>
        <v>7205.9872611464971</v>
      </c>
      <c r="P48" s="28">
        <v>0</v>
      </c>
    </row>
    <row r="49" spans="1:16" x14ac:dyDescent="0.25">
      <c r="A49" s="36" t="s">
        <v>180</v>
      </c>
      <c r="B49" s="1">
        <f>((VLOOKUP($A49,Материал!$A$3:$J$68,3,FALSE))*B$69)+B$70</f>
        <v>7261.9426751592355</v>
      </c>
      <c r="C49" s="1">
        <f>((VLOOKUP($A49,Материал!$A$3:$J$68,3,FALSE))*C$69)+C$70</f>
        <v>7288.1369426751589</v>
      </c>
      <c r="D49" s="1">
        <f>((VLOOKUP($A49,Материал!$A$3:$J$68,3,FALSE))*D$69)+D$70</f>
        <v>7314.3312101910824</v>
      </c>
      <c r="E49" s="1">
        <f>((VLOOKUP($A49,Материал!$A$3:$J$68,3,FALSE))*E$69)+E$70</f>
        <v>7340.5254777070068</v>
      </c>
      <c r="F49" s="1">
        <f>((VLOOKUP($A49,Материал!$A$3:$J$68,3,FALSE))*F$69)+F$70</f>
        <v>7366.7197452229302</v>
      </c>
      <c r="G49" s="1">
        <f>((VLOOKUP($A49,Материал!$A$3:$J$68,3,FALSE))*G$69)+G$70</f>
        <v>7340.5254777070068</v>
      </c>
      <c r="H49" s="1">
        <f>((VLOOKUP($A49,Материал!$A$3:$J$68,3,FALSE))*H$69)+H$70</f>
        <v>14654.856687898089</v>
      </c>
      <c r="I49" s="1">
        <f>((VLOOKUP($A49,Материал!$A$3:$J$68,3,FALSE))*I$69)+I$70</f>
        <v>14681.050955414014</v>
      </c>
      <c r="J49" s="1">
        <f>((VLOOKUP($A49,Материал!$A$3:$J$68,3,FALSE))*J$69)+J$70</f>
        <v>14681.050955414014</v>
      </c>
      <c r="K49" s="1">
        <f>((VLOOKUP($A49,Материал!$A$3:$J$68,3,FALSE))*K$69)+K$70</f>
        <v>14628.662420382165</v>
      </c>
      <c r="L49" s="1">
        <f>((VLOOKUP($A49,Материал!$A$3:$J$68,3,FALSE))*L$69)+L$70</f>
        <v>14733.43949044586</v>
      </c>
      <c r="M49" s="1">
        <f>((VLOOKUP($A49,Материал!$A$3:$J$68,3,FALSE))*M$69)+M$70</f>
        <v>7220.0318471337578</v>
      </c>
      <c r="N49" s="1">
        <f>((VLOOKUP($A49,Материал!$A$3:$J$68,3,FALSE))*N$69)+N$70</f>
        <v>7220.0318471337578</v>
      </c>
      <c r="O49" s="1">
        <f>((VLOOKUP($A49,Материал!$A$3:$J$68,3,FALSE))*O$69)+O$70</f>
        <v>7220.0318471337578</v>
      </c>
      <c r="P49" s="28">
        <v>0</v>
      </c>
    </row>
    <row r="50" spans="1:16" x14ac:dyDescent="0.25">
      <c r="A50" s="36" t="s">
        <v>156</v>
      </c>
      <c r="B50" s="1">
        <f>((VLOOKUP($A50,Материал!$A$3:$J$68,3,FALSE))*B$69)+B$70</f>
        <v>7323.248407643312</v>
      </c>
      <c r="C50" s="1">
        <f>((VLOOKUP($A50,Материал!$A$3:$J$68,3,FALSE))*C$69)+C$70</f>
        <v>7355.5732484076434</v>
      </c>
      <c r="D50" s="1">
        <f>((VLOOKUP($A50,Материал!$A$3:$J$68,3,FALSE))*D$69)+D$70</f>
        <v>7387.8980891719748</v>
      </c>
      <c r="E50" s="1">
        <f>((VLOOKUP($A50,Материал!$A$3:$J$68,3,FALSE))*E$69)+E$70</f>
        <v>7420.2229299363062</v>
      </c>
      <c r="F50" s="1">
        <f>((VLOOKUP($A50,Материал!$A$3:$J$68,3,FALSE))*F$69)+F$70</f>
        <v>7452.5477707006366</v>
      </c>
      <c r="G50" s="1">
        <f>((VLOOKUP($A50,Материал!$A$3:$J$68,3,FALSE))*G$69)+G$70</f>
        <v>7420.2229299363062</v>
      </c>
      <c r="H50" s="1">
        <f>((VLOOKUP($A50,Материал!$A$3:$J$68,3,FALSE))*H$69)+H$70</f>
        <v>14808.121019108281</v>
      </c>
      <c r="I50" s="1">
        <f>((VLOOKUP($A50,Материал!$A$3:$J$68,3,FALSE))*I$69)+I$70</f>
        <v>14840.445859872612</v>
      </c>
      <c r="J50" s="1">
        <f>((VLOOKUP($A50,Материал!$A$3:$J$68,3,FALSE))*J$69)+J$70</f>
        <v>14840.445859872612</v>
      </c>
      <c r="K50" s="1">
        <f>((VLOOKUP($A50,Материал!$A$3:$J$68,3,FALSE))*K$69)+K$70</f>
        <v>14775.79617834395</v>
      </c>
      <c r="L50" s="1">
        <f>((VLOOKUP($A50,Материал!$A$3:$J$68,3,FALSE))*L$69)+L$70</f>
        <v>14905.095541401273</v>
      </c>
      <c r="M50" s="1">
        <f>((VLOOKUP($A50,Материал!$A$3:$J$68,3,FALSE))*M$69)+M$70</f>
        <v>7271.5286624203818</v>
      </c>
      <c r="N50" s="1">
        <f>((VLOOKUP($A50,Материал!$A$3:$J$68,3,FALSE))*N$69)+N$70</f>
        <v>7271.5286624203818</v>
      </c>
      <c r="O50" s="1">
        <f>((VLOOKUP($A50,Материал!$A$3:$J$68,3,FALSE))*O$69)+O$70</f>
        <v>7271.5286624203818</v>
      </c>
      <c r="P50" s="28">
        <v>0</v>
      </c>
    </row>
    <row r="51" spans="1:16" x14ac:dyDescent="0.25">
      <c r="A51" s="36" t="s">
        <v>171</v>
      </c>
      <c r="B51" s="1">
        <f>((VLOOKUP($A51,Материал!$A$3:$J$68,3,FALSE))*B$69)+B$70</f>
        <v>7323.248407643312</v>
      </c>
      <c r="C51" s="1">
        <f>((VLOOKUP($A51,Материал!$A$3:$J$68,3,FALSE))*C$69)+C$70</f>
        <v>7355.5732484076434</v>
      </c>
      <c r="D51" s="1">
        <f>((VLOOKUP($A51,Материал!$A$3:$J$68,3,FALSE))*D$69)+D$70</f>
        <v>7387.8980891719748</v>
      </c>
      <c r="E51" s="1">
        <f>((VLOOKUP($A51,Материал!$A$3:$J$68,3,FALSE))*E$69)+E$70</f>
        <v>7420.2229299363062</v>
      </c>
      <c r="F51" s="1">
        <f>((VLOOKUP($A51,Материал!$A$3:$J$68,3,FALSE))*F$69)+F$70</f>
        <v>7452.5477707006366</v>
      </c>
      <c r="G51" s="1">
        <f>((VLOOKUP($A51,Материал!$A$3:$J$68,3,FALSE))*G$69)+G$70</f>
        <v>7420.2229299363062</v>
      </c>
      <c r="H51" s="1">
        <f>((VLOOKUP($A51,Материал!$A$3:$J$68,3,FALSE))*H$69)+H$70</f>
        <v>14808.121019108281</v>
      </c>
      <c r="I51" s="1">
        <f>((VLOOKUP($A51,Материал!$A$3:$J$68,3,FALSE))*I$69)+I$70</f>
        <v>14840.445859872612</v>
      </c>
      <c r="J51" s="1">
        <f>((VLOOKUP($A51,Материал!$A$3:$J$68,3,FALSE))*J$69)+J$70</f>
        <v>14840.445859872612</v>
      </c>
      <c r="K51" s="1">
        <f>((VLOOKUP($A51,Материал!$A$3:$J$68,3,FALSE))*K$69)+K$70</f>
        <v>14775.79617834395</v>
      </c>
      <c r="L51" s="1">
        <f>((VLOOKUP($A51,Материал!$A$3:$J$68,3,FALSE))*L$69)+L$70</f>
        <v>14905.095541401273</v>
      </c>
      <c r="M51" s="1">
        <f>((VLOOKUP($A51,Материал!$A$3:$J$68,3,FALSE))*M$69)+M$70</f>
        <v>7271.5286624203818</v>
      </c>
      <c r="N51" s="1">
        <f>((VLOOKUP($A51,Материал!$A$3:$J$68,3,FALSE))*N$69)+N$70</f>
        <v>7271.5286624203818</v>
      </c>
      <c r="O51" s="1">
        <f>((VLOOKUP($A51,Материал!$A$3:$J$68,3,FALSE))*O$69)+O$70</f>
        <v>7271.5286624203818</v>
      </c>
      <c r="P51" s="28">
        <v>0</v>
      </c>
    </row>
    <row r="52" spans="1:16" x14ac:dyDescent="0.25">
      <c r="A52" s="36" t="s">
        <v>157</v>
      </c>
      <c r="B52" s="1">
        <f>((VLOOKUP($A52,Материал!$A$3:$J$68,3,FALSE))*B$69)+B$70</f>
        <v>7384.5541401273886</v>
      </c>
      <c r="C52" s="1">
        <f>((VLOOKUP($A52,Материал!$A$3:$J$68,3,FALSE))*C$69)+C$70</f>
        <v>7423.0095541401279</v>
      </c>
      <c r="D52" s="1">
        <f>((VLOOKUP($A52,Материал!$A$3:$J$68,3,FALSE))*D$69)+D$70</f>
        <v>7461.4649681528663</v>
      </c>
      <c r="E52" s="1">
        <f>((VLOOKUP($A52,Материал!$A$3:$J$68,3,FALSE))*E$69)+E$70</f>
        <v>7499.9203821656047</v>
      </c>
      <c r="F52" s="1">
        <f>((VLOOKUP($A52,Материал!$A$3:$J$68,3,FALSE))*F$69)+F$70</f>
        <v>7538.375796178344</v>
      </c>
      <c r="G52" s="1">
        <f>((VLOOKUP($A52,Материал!$A$3:$J$68,3,FALSE))*G$69)+G$70</f>
        <v>7499.9203821656047</v>
      </c>
      <c r="H52" s="1">
        <f>((VLOOKUP($A52,Материал!$A$3:$J$68,3,FALSE))*H$69)+H$70</f>
        <v>14961.385350318471</v>
      </c>
      <c r="I52" s="1">
        <f>((VLOOKUP($A52,Материал!$A$3:$J$68,3,FALSE))*I$69)+I$70</f>
        <v>14999.840764331209</v>
      </c>
      <c r="J52" s="1">
        <f>((VLOOKUP($A52,Материал!$A$3:$J$68,3,FALSE))*J$69)+J$70</f>
        <v>14999.840764331209</v>
      </c>
      <c r="K52" s="1">
        <f>((VLOOKUP($A52,Материал!$A$3:$J$68,3,FALSE))*K$69)+K$70</f>
        <v>14922.929936305733</v>
      </c>
      <c r="L52" s="1">
        <f>((VLOOKUP($A52,Материал!$A$3:$J$68,3,FALSE))*L$69)+L$70</f>
        <v>15076.751592356688</v>
      </c>
      <c r="M52" s="1">
        <f>((VLOOKUP($A52,Материал!$A$3:$J$68,3,FALSE))*M$69)+M$70</f>
        <v>7323.0254777070068</v>
      </c>
      <c r="N52" s="1">
        <f>((VLOOKUP($A52,Материал!$A$3:$J$68,3,FALSE))*N$69)+N$70</f>
        <v>7323.0254777070068</v>
      </c>
      <c r="O52" s="1">
        <f>((VLOOKUP($A52,Материал!$A$3:$J$68,3,FALSE))*O$69)+O$70</f>
        <v>7323.0254777070068</v>
      </c>
      <c r="P52" s="28">
        <v>0</v>
      </c>
    </row>
    <row r="53" spans="1:16" x14ac:dyDescent="0.25">
      <c r="A53" s="36" t="s">
        <v>278</v>
      </c>
      <c r="B53" s="1">
        <f>((VLOOKUP($A53,Материал!$A$3:$J$68,3,FALSE))*B$69)+B$70</f>
        <v>7420.7802547770698</v>
      </c>
      <c r="C53" s="1">
        <f>((VLOOKUP($A53,Материал!$A$3:$J$68,3,FALSE))*C$69)+C$70</f>
        <v>7462.8582802547771</v>
      </c>
      <c r="D53" s="1">
        <f>((VLOOKUP($A53,Материал!$A$3:$J$68,3,FALSE))*D$69)+D$70</f>
        <v>7504.9363057324845</v>
      </c>
      <c r="E53" s="1">
        <f>((VLOOKUP($A53,Материал!$A$3:$J$68,3,FALSE))*E$69)+E$70</f>
        <v>7547.0143312101909</v>
      </c>
      <c r="F53" s="1">
        <f>((VLOOKUP($A53,Материал!$A$3:$J$68,3,FALSE))*F$69)+F$70</f>
        <v>7589.0923566878982</v>
      </c>
      <c r="G53" s="1">
        <f>((VLOOKUP($A53,Материал!$A$3:$J$68,3,FALSE))*G$69)+G$70</f>
        <v>7547.0143312101909</v>
      </c>
      <c r="H53" s="1">
        <f>((VLOOKUP($A53,Материал!$A$3:$J$68,3,FALSE))*H$69)+H$70</f>
        <v>15051.950636942674</v>
      </c>
      <c r="I53" s="1">
        <f>((VLOOKUP($A53,Материал!$A$3:$J$68,3,FALSE))*I$69)+I$70</f>
        <v>15094.028662420382</v>
      </c>
      <c r="J53" s="1">
        <f>((VLOOKUP($A53,Материал!$A$3:$J$68,3,FALSE))*J$69)+J$70</f>
        <v>15094.028662420382</v>
      </c>
      <c r="K53" s="1">
        <f>((VLOOKUP($A53,Материал!$A$3:$J$68,3,FALSE))*K$69)+K$70</f>
        <v>15009.872611464969</v>
      </c>
      <c r="L53" s="1">
        <f>((VLOOKUP($A53,Материал!$A$3:$J$68,3,FALSE))*L$69)+L$70</f>
        <v>15178.184713375796</v>
      </c>
      <c r="M53" s="1">
        <f>((VLOOKUP($A53,Материал!$A$3:$J$68,3,FALSE))*M$69)+M$70</f>
        <v>7353.4554140127384</v>
      </c>
      <c r="N53" s="1">
        <f>((VLOOKUP($A53,Материал!$A$3:$J$68,3,FALSE))*N$69)+N$70</f>
        <v>7353.4554140127384</v>
      </c>
      <c r="O53" s="1">
        <f>((VLOOKUP($A53,Материал!$A$3:$J$68,3,FALSE))*O$69)+O$70</f>
        <v>7353.4554140127384</v>
      </c>
      <c r="P53" s="28">
        <v>0</v>
      </c>
    </row>
    <row r="54" spans="1:16" x14ac:dyDescent="0.25">
      <c r="A54" s="36" t="s">
        <v>158</v>
      </c>
      <c r="B54" s="1">
        <f>((VLOOKUP($A54,Материал!$A$3:$J$68,3,FALSE))*B$69)+B$70</f>
        <v>7270.3025477707006</v>
      </c>
      <c r="C54" s="1">
        <f>((VLOOKUP($A54,Материал!$A$3:$J$68,3,FALSE))*C$69)+C$70</f>
        <v>7297.3328025477704</v>
      </c>
      <c r="D54" s="1">
        <f>((VLOOKUP($A54,Материал!$A$3:$J$68,3,FALSE))*D$69)+D$70</f>
        <v>7324.3630573248411</v>
      </c>
      <c r="E54" s="1">
        <f>((VLOOKUP($A54,Материал!$A$3:$J$68,3,FALSE))*E$69)+E$70</f>
        <v>7351.3933121019109</v>
      </c>
      <c r="F54" s="1">
        <f>((VLOOKUP($A54,Материал!$A$3:$J$68,3,FALSE))*F$69)+F$70</f>
        <v>7378.4235668789806</v>
      </c>
      <c r="G54" s="1">
        <f>((VLOOKUP($A54,Материал!$A$3:$J$68,3,FALSE))*G$69)+G$70</f>
        <v>7351.3933121019109</v>
      </c>
      <c r="H54" s="1">
        <f>((VLOOKUP($A54,Материал!$A$3:$J$68,3,FALSE))*H$69)+H$70</f>
        <v>14675.756369426752</v>
      </c>
      <c r="I54" s="1">
        <f>((VLOOKUP($A54,Материал!$A$3:$J$68,3,FALSE))*I$69)+I$70</f>
        <v>14702.786624203822</v>
      </c>
      <c r="J54" s="1">
        <f>((VLOOKUP($A54,Материал!$A$3:$J$68,3,FALSE))*J$69)+J$70</f>
        <v>14702.786624203822</v>
      </c>
      <c r="K54" s="1">
        <f>((VLOOKUP($A54,Материал!$A$3:$J$68,3,FALSE))*K$69)+K$70</f>
        <v>14648.726114649682</v>
      </c>
      <c r="L54" s="1">
        <f>((VLOOKUP($A54,Материал!$A$3:$J$68,3,FALSE))*L$69)+L$70</f>
        <v>14756.847133757961</v>
      </c>
      <c r="M54" s="1">
        <f>((VLOOKUP($A54,Материал!$A$3:$J$68,3,FALSE))*M$69)+M$70</f>
        <v>7227.0541401273886</v>
      </c>
      <c r="N54" s="1">
        <f>((VLOOKUP($A54,Материал!$A$3:$J$68,3,FALSE))*N$69)+N$70</f>
        <v>7227.0541401273886</v>
      </c>
      <c r="O54" s="1">
        <f>((VLOOKUP($A54,Материал!$A$3:$J$68,3,FALSE))*O$69)+O$70</f>
        <v>7227.0541401273886</v>
      </c>
      <c r="P54" s="28">
        <v>0</v>
      </c>
    </row>
    <row r="55" spans="1:16" x14ac:dyDescent="0.25">
      <c r="A55" s="36" t="s">
        <v>159</v>
      </c>
      <c r="B55" s="1">
        <f>((VLOOKUP($A55,Материал!$A$3:$J$68,3,FALSE))*B$69)+B$70</f>
        <v>7270.3025477707006</v>
      </c>
      <c r="C55" s="1">
        <f>((VLOOKUP($A55,Материал!$A$3:$J$68,3,FALSE))*C$69)+C$70</f>
        <v>7297.3328025477704</v>
      </c>
      <c r="D55" s="1">
        <f>((VLOOKUP($A55,Материал!$A$3:$J$68,3,FALSE))*D$69)+D$70</f>
        <v>7324.3630573248411</v>
      </c>
      <c r="E55" s="1">
        <f>((VLOOKUP($A55,Материал!$A$3:$J$68,3,FALSE))*E$69)+E$70</f>
        <v>7351.3933121019109</v>
      </c>
      <c r="F55" s="1">
        <f>((VLOOKUP($A55,Материал!$A$3:$J$68,3,FALSE))*F$69)+F$70</f>
        <v>7378.4235668789806</v>
      </c>
      <c r="G55" s="1">
        <f>((VLOOKUP($A55,Материал!$A$3:$J$68,3,FALSE))*G$69)+G$70</f>
        <v>7351.3933121019109</v>
      </c>
      <c r="H55" s="1">
        <f>((VLOOKUP($A55,Материал!$A$3:$J$68,3,FALSE))*H$69)+H$70</f>
        <v>14675.756369426752</v>
      </c>
      <c r="I55" s="1">
        <f>((VLOOKUP($A55,Материал!$A$3:$J$68,3,FALSE))*I$69)+I$70</f>
        <v>14702.786624203822</v>
      </c>
      <c r="J55" s="1">
        <f>((VLOOKUP($A55,Материал!$A$3:$J$68,3,FALSE))*J$69)+J$70</f>
        <v>14702.786624203822</v>
      </c>
      <c r="K55" s="1">
        <f>((VLOOKUP($A55,Материал!$A$3:$J$68,3,FALSE))*K$69)+K$70</f>
        <v>14648.726114649682</v>
      </c>
      <c r="L55" s="1">
        <f>((VLOOKUP($A55,Материал!$A$3:$J$68,3,FALSE))*L$69)+L$70</f>
        <v>14756.847133757961</v>
      </c>
      <c r="M55" s="1">
        <f>((VLOOKUP($A55,Материал!$A$3:$J$68,3,FALSE))*M$69)+M$70</f>
        <v>7227.0541401273886</v>
      </c>
      <c r="N55" s="1">
        <f>((VLOOKUP($A55,Материал!$A$3:$J$68,3,FALSE))*N$69)+N$70</f>
        <v>7227.0541401273886</v>
      </c>
      <c r="O55" s="1">
        <f>((VLOOKUP($A55,Материал!$A$3:$J$68,3,FALSE))*O$69)+O$70</f>
        <v>7227.0541401273886</v>
      </c>
      <c r="P55" s="28">
        <v>0</v>
      </c>
    </row>
    <row r="56" spans="1:16" x14ac:dyDescent="0.25">
      <c r="A56" s="36" t="s">
        <v>160</v>
      </c>
      <c r="B56" s="1">
        <f>((VLOOKUP($A56,Материал!$A$3:$J$68,3,FALSE))*B$69)+B$70</f>
        <v>7287.0222929936308</v>
      </c>
      <c r="C56" s="1">
        <f>((VLOOKUP($A56,Материал!$A$3:$J$68,3,FALSE))*C$69)+C$70</f>
        <v>7315.7245222929932</v>
      </c>
      <c r="D56" s="1">
        <f>((VLOOKUP($A56,Материал!$A$3:$J$68,3,FALSE))*D$69)+D$70</f>
        <v>7344.4267515923566</v>
      </c>
      <c r="E56" s="1">
        <f>((VLOOKUP($A56,Материал!$A$3:$J$68,3,FALSE))*E$69)+E$70</f>
        <v>7373.1289808917199</v>
      </c>
      <c r="F56" s="1">
        <f>((VLOOKUP($A56,Материал!$A$3:$J$68,3,FALSE))*F$69)+F$70</f>
        <v>7401.8312101910824</v>
      </c>
      <c r="G56" s="1">
        <f>((VLOOKUP($A56,Материал!$A$3:$J$68,3,FALSE))*G$69)+G$70</f>
        <v>7373.1289808917199</v>
      </c>
      <c r="H56" s="1">
        <f>((VLOOKUP($A56,Материал!$A$3:$J$68,3,FALSE))*H$69)+H$70</f>
        <v>14717.555732484076</v>
      </c>
      <c r="I56" s="1">
        <f>((VLOOKUP($A56,Материал!$A$3:$J$68,3,FALSE))*I$69)+I$70</f>
        <v>14746.25796178344</v>
      </c>
      <c r="J56" s="1">
        <f>((VLOOKUP($A56,Материал!$A$3:$J$68,3,FALSE))*J$69)+J$70</f>
        <v>14746.25796178344</v>
      </c>
      <c r="K56" s="1">
        <f>((VLOOKUP($A56,Материал!$A$3:$J$68,3,FALSE))*K$69)+K$70</f>
        <v>14688.853503184713</v>
      </c>
      <c r="L56" s="1">
        <f>((VLOOKUP($A56,Материал!$A$3:$J$68,3,FALSE))*L$69)+L$70</f>
        <v>14803.662420382165</v>
      </c>
      <c r="M56" s="1">
        <f>((VLOOKUP($A56,Материал!$A$3:$J$68,3,FALSE))*M$69)+M$70</f>
        <v>7241.0987261146493</v>
      </c>
      <c r="N56" s="1">
        <f>((VLOOKUP($A56,Материал!$A$3:$J$68,3,FALSE))*N$69)+N$70</f>
        <v>7241.0987261146493</v>
      </c>
      <c r="O56" s="1">
        <f>((VLOOKUP($A56,Материал!$A$3:$J$68,3,FALSE))*O$69)+O$70</f>
        <v>7241.0987261146493</v>
      </c>
      <c r="P56" s="28">
        <v>0</v>
      </c>
    </row>
    <row r="57" spans="1:16" x14ac:dyDescent="0.25">
      <c r="A57" s="36" t="s">
        <v>161</v>
      </c>
      <c r="B57" s="1">
        <f>((VLOOKUP($A57,Материал!$A$3:$J$68,3,FALSE))*B$69)+B$70</f>
        <v>7295.3821656050959</v>
      </c>
      <c r="C57" s="1">
        <f>((VLOOKUP($A57,Материал!$A$3:$J$68,3,FALSE))*C$69)+C$70</f>
        <v>7324.9203821656047</v>
      </c>
      <c r="D57" s="1">
        <f>((VLOOKUP($A57,Материал!$A$3:$J$68,3,FALSE))*D$69)+D$70</f>
        <v>7354.4585987261144</v>
      </c>
      <c r="E57" s="1">
        <f>((VLOOKUP($A57,Материал!$A$3:$J$68,3,FALSE))*E$69)+E$70</f>
        <v>7383.996815286624</v>
      </c>
      <c r="F57" s="1">
        <f>((VLOOKUP($A57,Материал!$A$3:$J$68,3,FALSE))*F$69)+F$70</f>
        <v>7413.5350318471337</v>
      </c>
      <c r="G57" s="1">
        <f>((VLOOKUP($A57,Материал!$A$3:$J$68,3,FALSE))*G$69)+G$70</f>
        <v>7383.996815286624</v>
      </c>
      <c r="H57" s="1">
        <f>((VLOOKUP($A57,Материал!$A$3:$J$68,3,FALSE))*H$69)+H$70</f>
        <v>14738.455414012738</v>
      </c>
      <c r="I57" s="1">
        <f>((VLOOKUP($A57,Материал!$A$3:$J$68,3,FALSE))*I$69)+I$70</f>
        <v>14767.993630573248</v>
      </c>
      <c r="J57" s="1">
        <f>((VLOOKUP($A57,Материал!$A$3:$J$68,3,FALSE))*J$69)+J$70</f>
        <v>14767.993630573248</v>
      </c>
      <c r="K57" s="1">
        <f>((VLOOKUP($A57,Материал!$A$3:$J$68,3,FALSE))*K$69)+K$70</f>
        <v>14708.917197452229</v>
      </c>
      <c r="L57" s="1">
        <f>((VLOOKUP($A57,Материал!$A$3:$J$68,3,FALSE))*L$69)+L$70</f>
        <v>14827.070063694267</v>
      </c>
      <c r="M57" s="1">
        <f>((VLOOKUP($A57,Материал!$A$3:$J$68,3,FALSE))*M$69)+M$70</f>
        <v>7248.1210191082801</v>
      </c>
      <c r="N57" s="1">
        <f>((VLOOKUP($A57,Материал!$A$3:$J$68,3,FALSE))*N$69)+N$70</f>
        <v>7248.1210191082801</v>
      </c>
      <c r="O57" s="1">
        <f>((VLOOKUP($A57,Материал!$A$3:$J$68,3,FALSE))*O$69)+O$70</f>
        <v>7248.1210191082801</v>
      </c>
      <c r="P57" s="28">
        <v>0</v>
      </c>
    </row>
    <row r="58" spans="1:16" x14ac:dyDescent="0.25">
      <c r="A58" s="36" t="s">
        <v>162</v>
      </c>
      <c r="B58" s="1">
        <f>((VLOOKUP($A58,Материал!$A$3:$J$68,3,FALSE))*B$69)+B$70</f>
        <v>7295.3821656050959</v>
      </c>
      <c r="C58" s="1">
        <f>((VLOOKUP($A58,Материал!$A$3:$J$68,3,FALSE))*C$69)+C$70</f>
        <v>7324.9203821656047</v>
      </c>
      <c r="D58" s="1">
        <f>((VLOOKUP($A58,Материал!$A$3:$J$68,3,FALSE))*D$69)+D$70</f>
        <v>7354.4585987261144</v>
      </c>
      <c r="E58" s="1">
        <f>((VLOOKUP($A58,Материал!$A$3:$J$68,3,FALSE))*E$69)+E$70</f>
        <v>7383.996815286624</v>
      </c>
      <c r="F58" s="1">
        <f>((VLOOKUP($A58,Материал!$A$3:$J$68,3,FALSE))*F$69)+F$70</f>
        <v>7413.5350318471337</v>
      </c>
      <c r="G58" s="1">
        <f>((VLOOKUP($A58,Материал!$A$3:$J$68,3,FALSE))*G$69)+G$70</f>
        <v>7383.996815286624</v>
      </c>
      <c r="H58" s="1">
        <f>((VLOOKUP($A58,Материал!$A$3:$J$68,3,FALSE))*H$69)+H$70</f>
        <v>14738.455414012738</v>
      </c>
      <c r="I58" s="1">
        <f>((VLOOKUP($A58,Материал!$A$3:$J$68,3,FALSE))*I$69)+I$70</f>
        <v>14767.993630573248</v>
      </c>
      <c r="J58" s="1">
        <f>((VLOOKUP($A58,Материал!$A$3:$J$68,3,FALSE))*J$69)+J$70</f>
        <v>14767.993630573248</v>
      </c>
      <c r="K58" s="1">
        <f>((VLOOKUP($A58,Материал!$A$3:$J$68,3,FALSE))*K$69)+K$70</f>
        <v>14708.917197452229</v>
      </c>
      <c r="L58" s="1">
        <f>((VLOOKUP($A58,Материал!$A$3:$J$68,3,FALSE))*L$69)+L$70</f>
        <v>14827.070063694267</v>
      </c>
      <c r="M58" s="1">
        <f>((VLOOKUP($A58,Материал!$A$3:$J$68,3,FALSE))*M$69)+M$70</f>
        <v>7248.1210191082801</v>
      </c>
      <c r="N58" s="1">
        <f>((VLOOKUP($A58,Материал!$A$3:$J$68,3,FALSE))*N$69)+N$70</f>
        <v>7248.1210191082801</v>
      </c>
      <c r="O58" s="1">
        <f>((VLOOKUP($A58,Материал!$A$3:$J$68,3,FALSE))*O$69)+O$70</f>
        <v>7248.1210191082801</v>
      </c>
      <c r="P58" s="28">
        <v>0</v>
      </c>
    </row>
    <row r="59" spans="1:16" x14ac:dyDescent="0.25">
      <c r="A59" s="36" t="s">
        <v>163</v>
      </c>
      <c r="B59" s="1">
        <f>((VLOOKUP($A59,Материал!$A$3:$J$68,3,FALSE))*B$69)+B$70</f>
        <v>7287.0222929936308</v>
      </c>
      <c r="C59" s="1">
        <f>((VLOOKUP($A59,Материал!$A$3:$J$68,3,FALSE))*C$69)+C$70</f>
        <v>7315.7245222929932</v>
      </c>
      <c r="D59" s="1">
        <f>((VLOOKUP($A59,Материал!$A$3:$J$68,3,FALSE))*D$69)+D$70</f>
        <v>7344.4267515923566</v>
      </c>
      <c r="E59" s="1">
        <f>((VLOOKUP($A59,Материал!$A$3:$J$68,3,FALSE))*E$69)+E$70</f>
        <v>7373.1289808917199</v>
      </c>
      <c r="F59" s="1">
        <f>((VLOOKUP($A59,Материал!$A$3:$J$68,3,FALSE))*F$69)+F$70</f>
        <v>7401.8312101910824</v>
      </c>
      <c r="G59" s="1">
        <f>((VLOOKUP($A59,Материал!$A$3:$J$68,3,FALSE))*G$69)+G$70</f>
        <v>7373.1289808917199</v>
      </c>
      <c r="H59" s="1">
        <f>((VLOOKUP($A59,Материал!$A$3:$J$68,3,FALSE))*H$69)+H$70</f>
        <v>14717.555732484076</v>
      </c>
      <c r="I59" s="1">
        <f>((VLOOKUP($A59,Материал!$A$3:$J$68,3,FALSE))*I$69)+I$70</f>
        <v>14746.25796178344</v>
      </c>
      <c r="J59" s="1">
        <f>((VLOOKUP($A59,Материал!$A$3:$J$68,3,FALSE))*J$69)+J$70</f>
        <v>14746.25796178344</v>
      </c>
      <c r="K59" s="1">
        <f>((VLOOKUP($A59,Материал!$A$3:$J$68,3,FALSE))*K$69)+K$70</f>
        <v>14688.853503184713</v>
      </c>
      <c r="L59" s="1">
        <f>((VLOOKUP($A59,Материал!$A$3:$J$68,3,FALSE))*L$69)+L$70</f>
        <v>14803.662420382165</v>
      </c>
      <c r="M59" s="1">
        <f>((VLOOKUP($A59,Материал!$A$3:$J$68,3,FALSE))*M$69)+M$70</f>
        <v>7241.0987261146493</v>
      </c>
      <c r="N59" s="1">
        <f>((VLOOKUP($A59,Материал!$A$3:$J$68,3,FALSE))*N$69)+N$70</f>
        <v>7241.0987261146493</v>
      </c>
      <c r="O59" s="1">
        <f>((VLOOKUP($A59,Материал!$A$3:$J$68,3,FALSE))*O$69)+O$70</f>
        <v>7241.0987261146493</v>
      </c>
      <c r="P59" s="28">
        <v>0</v>
      </c>
    </row>
    <row r="60" spans="1:16" x14ac:dyDescent="0.25">
      <c r="A60" s="36" t="s">
        <v>164</v>
      </c>
      <c r="B60" s="1">
        <f>((VLOOKUP($A60,Материал!$A$3:$J$68,3,FALSE))*B$69)+B$70</f>
        <v>7309.3152866242035</v>
      </c>
      <c r="C60" s="1">
        <f>((VLOOKUP($A60,Материал!$A$3:$J$68,3,FALSE))*C$69)+C$70</f>
        <v>7340.246815286624</v>
      </c>
      <c r="D60" s="1">
        <f>((VLOOKUP($A60,Материал!$A$3:$J$68,3,FALSE))*D$69)+D$70</f>
        <v>7371.1783439490446</v>
      </c>
      <c r="E60" s="1">
        <f>((VLOOKUP($A60,Материал!$A$3:$J$68,3,FALSE))*E$69)+E$70</f>
        <v>7402.1098726114651</v>
      </c>
      <c r="F60" s="1">
        <f>((VLOOKUP($A60,Материал!$A$3:$J$68,3,FALSE))*F$69)+F$70</f>
        <v>7433.0414012738856</v>
      </c>
      <c r="G60" s="1">
        <f>((VLOOKUP($A60,Материал!$A$3:$J$68,3,FALSE))*G$69)+G$70</f>
        <v>7402.1098726114651</v>
      </c>
      <c r="H60" s="1">
        <f>((VLOOKUP($A60,Материал!$A$3:$J$68,3,FALSE))*H$69)+H$70</f>
        <v>14773.28821656051</v>
      </c>
      <c r="I60" s="1">
        <f>((VLOOKUP($A60,Материал!$A$3:$J$68,3,FALSE))*I$69)+I$70</f>
        <v>14804.21974522293</v>
      </c>
      <c r="J60" s="1">
        <f>((VLOOKUP($A60,Материал!$A$3:$J$68,3,FALSE))*J$69)+J$70</f>
        <v>14804.21974522293</v>
      </c>
      <c r="K60" s="1">
        <f>((VLOOKUP($A60,Материал!$A$3:$J$68,3,FALSE))*K$69)+K$70</f>
        <v>14742.356687898089</v>
      </c>
      <c r="L60" s="1">
        <f>((VLOOKUP($A60,Материал!$A$3:$J$68,3,FALSE))*L$69)+L$70</f>
        <v>14866.082802547771</v>
      </c>
      <c r="M60" s="1">
        <f>((VLOOKUP($A60,Материал!$A$3:$J$68,3,FALSE))*M$69)+M$70</f>
        <v>7259.8248407643314</v>
      </c>
      <c r="N60" s="1">
        <f>((VLOOKUP($A60,Материал!$A$3:$J$68,3,FALSE))*N$69)+N$70</f>
        <v>7259.8248407643314</v>
      </c>
      <c r="O60" s="1">
        <f>((VLOOKUP($A60,Материал!$A$3:$J$68,3,FALSE))*O$69)+O$70</f>
        <v>7259.8248407643314</v>
      </c>
      <c r="P60" s="28">
        <v>0</v>
      </c>
    </row>
    <row r="61" spans="1:16" x14ac:dyDescent="0.25">
      <c r="A61" s="37" t="s">
        <v>165</v>
      </c>
      <c r="B61" s="1">
        <f>((VLOOKUP($A61,Материал!$A$3:$J$68,3,FALSE))*B$69)+B$70</f>
        <v>7376.1942675159235</v>
      </c>
      <c r="C61" s="1">
        <f>((VLOOKUP($A61,Материал!$A$3:$J$68,3,FALSE))*C$69)+C$70</f>
        <v>7413.8136942675155</v>
      </c>
      <c r="D61" s="1">
        <f>((VLOOKUP($A61,Материал!$A$3:$J$68,3,FALSE))*D$69)+D$70</f>
        <v>7451.4331210191085</v>
      </c>
      <c r="E61" s="1">
        <f>((VLOOKUP($A61,Материал!$A$3:$J$68,3,FALSE))*E$69)+E$70</f>
        <v>7489.0525477707006</v>
      </c>
      <c r="F61" s="1">
        <f>((VLOOKUP($A61,Материал!$A$3:$J$68,3,FALSE))*F$69)+F$70</f>
        <v>7526.6719745222927</v>
      </c>
      <c r="G61" s="1">
        <f>((VLOOKUP($A61,Материал!$A$3:$J$68,3,FALSE))*G$69)+G$70</f>
        <v>7489.0525477707006</v>
      </c>
      <c r="H61" s="1">
        <f>((VLOOKUP($A61,Материал!$A$3:$J$68,3,FALSE))*H$69)+H$70</f>
        <v>14940.485668789808</v>
      </c>
      <c r="I61" s="1">
        <f>((VLOOKUP($A61,Материал!$A$3:$J$68,3,FALSE))*I$69)+I$70</f>
        <v>14978.105095541401</v>
      </c>
      <c r="J61" s="1">
        <f>((VLOOKUP($A61,Материал!$A$3:$J$68,3,FALSE))*J$69)+J$70</f>
        <v>14978.105095541401</v>
      </c>
      <c r="K61" s="1">
        <f>((VLOOKUP($A61,Материал!$A$3:$J$68,3,FALSE))*K$69)+K$70</f>
        <v>14902.866242038217</v>
      </c>
      <c r="L61" s="1">
        <f>((VLOOKUP($A61,Материал!$A$3:$J$68,3,FALSE))*L$69)+L$70</f>
        <v>15053.343949044585</v>
      </c>
      <c r="M61" s="1">
        <f>((VLOOKUP($A61,Материал!$A$3:$J$68,3,FALSE))*M$69)+M$70</f>
        <v>7316.003184713376</v>
      </c>
      <c r="N61" s="1">
        <f>((VLOOKUP($A61,Материал!$A$3:$J$68,3,FALSE))*N$69)+N$70</f>
        <v>7316.003184713376</v>
      </c>
      <c r="O61" s="1">
        <f>((VLOOKUP($A61,Материал!$A$3:$J$68,3,FALSE))*O$69)+O$70</f>
        <v>7316.003184713376</v>
      </c>
      <c r="P61" s="28">
        <v>0</v>
      </c>
    </row>
    <row r="62" spans="1:16" x14ac:dyDescent="0.25">
      <c r="A62" s="37" t="s">
        <v>166</v>
      </c>
      <c r="B62" s="1">
        <f>((VLOOKUP($A62,Материал!$A$3:$J$68,3,FALSE))*B$69)+B$70</f>
        <v>7445.8598726114651</v>
      </c>
      <c r="C62" s="1">
        <f>((VLOOKUP($A62,Материал!$A$3:$J$68,3,FALSE))*C$69)+C$70</f>
        <v>7490.4458598726114</v>
      </c>
      <c r="D62" s="1">
        <f>((VLOOKUP($A62,Материал!$A$3:$J$68,3,FALSE))*D$69)+D$70</f>
        <v>7535.0318471337578</v>
      </c>
      <c r="E62" s="1">
        <f>((VLOOKUP($A62,Материал!$A$3:$J$68,3,FALSE))*E$69)+E$70</f>
        <v>7579.6178343949041</v>
      </c>
      <c r="F62" s="1">
        <f>((VLOOKUP($A62,Материал!$A$3:$J$68,3,FALSE))*F$69)+F$70</f>
        <v>7624.2038216560504</v>
      </c>
      <c r="G62" s="1">
        <f>((VLOOKUP($A62,Материал!$A$3:$J$68,3,FALSE))*G$69)+G$70</f>
        <v>7579.6178343949041</v>
      </c>
      <c r="H62" s="1">
        <f>((VLOOKUP($A62,Материал!$A$3:$J$68,3,FALSE))*H$69)+H$70</f>
        <v>15114.649681528663</v>
      </c>
      <c r="I62" s="1">
        <f>((VLOOKUP($A62,Материал!$A$3:$J$68,3,FALSE))*I$69)+I$70</f>
        <v>15159.235668789808</v>
      </c>
      <c r="J62" s="1">
        <f>((VLOOKUP($A62,Материал!$A$3:$J$68,3,FALSE))*J$69)+J$70</f>
        <v>15159.235668789808</v>
      </c>
      <c r="K62" s="1">
        <f>((VLOOKUP($A62,Материал!$A$3:$J$68,3,FALSE))*K$69)+K$70</f>
        <v>15070.063694267516</v>
      </c>
      <c r="L62" s="1">
        <f>((VLOOKUP($A62,Материал!$A$3:$J$68,3,FALSE))*L$69)+L$70</f>
        <v>15248.407643312101</v>
      </c>
      <c r="M62" s="1">
        <f>((VLOOKUP($A62,Материал!$A$3:$J$68,3,FALSE))*M$69)+M$70</f>
        <v>7374.5222929936308</v>
      </c>
      <c r="N62" s="1">
        <f>((VLOOKUP($A62,Материал!$A$3:$J$68,3,FALSE))*N$69)+N$70</f>
        <v>7374.5222929936308</v>
      </c>
      <c r="O62" s="1">
        <f>((VLOOKUP($A62,Материал!$A$3:$J$68,3,FALSE))*O$69)+O$70</f>
        <v>7374.5222929936308</v>
      </c>
      <c r="P62" s="28">
        <v>0</v>
      </c>
    </row>
    <row r="63" spans="1:16" x14ac:dyDescent="0.25">
      <c r="A63" s="37" t="s">
        <v>167</v>
      </c>
      <c r="B63" s="1">
        <f>((VLOOKUP($A63,Материал!$A$3:$J$68,3,FALSE))*B$69)+B$70</f>
        <v>7420.7802547770698</v>
      </c>
      <c r="C63" s="1">
        <f>((VLOOKUP($A63,Материал!$A$3:$J$68,3,FALSE))*C$69)+C$70</f>
        <v>7462.8582802547771</v>
      </c>
      <c r="D63" s="1">
        <f>((VLOOKUP($A63,Материал!$A$3:$J$68,3,FALSE))*D$69)+D$70</f>
        <v>7504.9363057324845</v>
      </c>
      <c r="E63" s="1">
        <f>((VLOOKUP($A63,Материал!$A$3:$J$68,3,FALSE))*E$69)+E$70</f>
        <v>7547.0143312101909</v>
      </c>
      <c r="F63" s="1">
        <f>((VLOOKUP($A63,Материал!$A$3:$J$68,3,FALSE))*F$69)+F$70</f>
        <v>7589.0923566878982</v>
      </c>
      <c r="G63" s="1">
        <f>((VLOOKUP($A63,Материал!$A$3:$J$68,3,FALSE))*G$69)+G$70</f>
        <v>7547.0143312101909</v>
      </c>
      <c r="H63" s="1">
        <f>((VLOOKUP($A63,Материал!$A$3:$J$68,3,FALSE))*H$69)+H$70</f>
        <v>15051.950636942674</v>
      </c>
      <c r="I63" s="1">
        <f>((VLOOKUP($A63,Материал!$A$3:$J$68,3,FALSE))*I$69)+I$70</f>
        <v>15094.028662420382</v>
      </c>
      <c r="J63" s="1">
        <f>((VLOOKUP($A63,Материал!$A$3:$J$68,3,FALSE))*J$69)+J$70</f>
        <v>15094.028662420382</v>
      </c>
      <c r="K63" s="1">
        <f>((VLOOKUP($A63,Материал!$A$3:$J$68,3,FALSE))*K$69)+K$70</f>
        <v>15009.872611464969</v>
      </c>
      <c r="L63" s="1">
        <f>((VLOOKUP($A63,Материал!$A$3:$J$68,3,FALSE))*L$69)+L$70</f>
        <v>15178.184713375796</v>
      </c>
      <c r="M63" s="1">
        <f>((VLOOKUP($A63,Материал!$A$3:$J$68,3,FALSE))*M$69)+M$70</f>
        <v>7353.4554140127384</v>
      </c>
      <c r="N63" s="1">
        <f>((VLOOKUP($A63,Материал!$A$3:$J$68,3,FALSE))*N$69)+N$70</f>
        <v>7353.4554140127384</v>
      </c>
      <c r="O63" s="1">
        <f>((VLOOKUP($A63,Материал!$A$3:$J$68,3,FALSE))*O$69)+O$70</f>
        <v>7353.4554140127384</v>
      </c>
      <c r="P63" s="28">
        <v>0</v>
      </c>
    </row>
    <row r="64" spans="1:16" x14ac:dyDescent="0.25">
      <c r="A64" s="36" t="s">
        <v>168</v>
      </c>
      <c r="B64" s="1">
        <f>((VLOOKUP($A64,Материал!$A$3:$J$68,3,FALSE))*B$69)+B$70</f>
        <v>7420.7802547770698</v>
      </c>
      <c r="C64" s="1">
        <f>((VLOOKUP($A64,Материал!$A$3:$J$68,3,FALSE))*C$69)+C$70</f>
        <v>7462.8582802547771</v>
      </c>
      <c r="D64" s="1">
        <f>((VLOOKUP($A64,Материал!$A$3:$J$68,3,FALSE))*D$69)+D$70</f>
        <v>7504.9363057324845</v>
      </c>
      <c r="E64" s="1">
        <f>((VLOOKUP($A64,Материал!$A$3:$J$68,3,FALSE))*E$69)+E$70</f>
        <v>7547.0143312101909</v>
      </c>
      <c r="F64" s="1">
        <f>((VLOOKUP($A64,Материал!$A$3:$J$68,3,FALSE))*F$69)+F$70</f>
        <v>7589.0923566878982</v>
      </c>
      <c r="G64" s="1">
        <f>((VLOOKUP($A64,Материал!$A$3:$J$68,3,FALSE))*G$69)+G$70</f>
        <v>7547.0143312101909</v>
      </c>
      <c r="H64" s="1">
        <f>((VLOOKUP($A64,Материал!$A$3:$J$68,3,FALSE))*H$69)+H$70</f>
        <v>15051.950636942674</v>
      </c>
      <c r="I64" s="1">
        <f>((VLOOKUP($A64,Материал!$A$3:$J$68,3,FALSE))*I$69)+I$70</f>
        <v>15094.028662420382</v>
      </c>
      <c r="J64" s="1">
        <f>((VLOOKUP($A64,Материал!$A$3:$J$68,3,FALSE))*J$69)+J$70</f>
        <v>15094.028662420382</v>
      </c>
      <c r="K64" s="1">
        <f>((VLOOKUP($A64,Материал!$A$3:$J$68,3,FALSE))*K$69)+K$70</f>
        <v>15009.872611464969</v>
      </c>
      <c r="L64" s="1">
        <f>((VLOOKUP($A64,Материал!$A$3:$J$68,3,FALSE))*L$69)+L$70</f>
        <v>15178.184713375796</v>
      </c>
      <c r="M64" s="1">
        <f>((VLOOKUP($A64,Материал!$A$3:$J$68,3,FALSE))*M$69)+M$70</f>
        <v>7353.4554140127384</v>
      </c>
      <c r="N64" s="1">
        <f>((VLOOKUP($A64,Материал!$A$3:$J$68,3,FALSE))*N$69)+N$70</f>
        <v>7353.4554140127384</v>
      </c>
      <c r="O64" s="1">
        <f>((VLOOKUP($A64,Материал!$A$3:$J$68,3,FALSE))*O$69)+O$70</f>
        <v>7353.4554140127384</v>
      </c>
      <c r="P64" s="28">
        <v>0</v>
      </c>
    </row>
    <row r="65" spans="1:16" x14ac:dyDescent="0.25">
      <c r="A65" s="36" t="s">
        <v>279</v>
      </c>
      <c r="B65" s="1">
        <f>((VLOOKUP($A65,Материал!$A$3:$J$68,3,FALSE))*B$69)+B$70</f>
        <v>7490.4458598726114</v>
      </c>
      <c r="C65" s="1">
        <f>((VLOOKUP($A65,Материал!$A$3:$J$68,3,FALSE))*C$69)+C$70</f>
        <v>7539.4904458598721</v>
      </c>
      <c r="D65" s="1">
        <f>((VLOOKUP($A65,Материал!$A$3:$J$68,3,FALSE))*D$69)+D$70</f>
        <v>7588.5350318471337</v>
      </c>
      <c r="E65" s="1">
        <f>((VLOOKUP($A65,Материал!$A$3:$J$68,3,FALSE))*E$69)+E$70</f>
        <v>7637.5796178343953</v>
      </c>
      <c r="F65" s="1">
        <f>((VLOOKUP($A65,Материал!$A$3:$J$68,3,FALSE))*F$69)+F$70</f>
        <v>7686.624203821656</v>
      </c>
      <c r="G65" s="1">
        <f>((VLOOKUP($A65,Материал!$A$3:$J$68,3,FALSE))*G$69)+G$70</f>
        <v>7637.5796178343953</v>
      </c>
      <c r="H65" s="1">
        <f>((VLOOKUP($A65,Материал!$A$3:$J$68,3,FALSE))*H$69)+H$70</f>
        <v>15226.114649681529</v>
      </c>
      <c r="I65" s="1">
        <f>((VLOOKUP($A65,Материал!$A$3:$J$68,3,FALSE))*I$69)+I$70</f>
        <v>15275.159235668791</v>
      </c>
      <c r="J65" s="1">
        <f>((VLOOKUP($A65,Материал!$A$3:$J$68,3,FALSE))*J$69)+J$70</f>
        <v>15275.159235668791</v>
      </c>
      <c r="K65" s="1">
        <f>((VLOOKUP($A65,Материал!$A$3:$J$68,3,FALSE))*K$69)+K$70</f>
        <v>15177.070063694267</v>
      </c>
      <c r="L65" s="1">
        <f>((VLOOKUP($A65,Материал!$A$3:$J$68,3,FALSE))*L$69)+L$70</f>
        <v>15373.248407643312</v>
      </c>
      <c r="M65" s="1">
        <f>((VLOOKUP($A65,Материал!$A$3:$J$68,3,FALSE))*M$69)+M$70</f>
        <v>7411.9745222929932</v>
      </c>
      <c r="N65" s="1">
        <f>((VLOOKUP($A65,Материал!$A$3:$J$68,3,FALSE))*N$69)+N$70</f>
        <v>7411.9745222929932</v>
      </c>
      <c r="O65" s="1">
        <f>((VLOOKUP($A65,Материал!$A$3:$J$68,3,FALSE))*O$69)+O$70</f>
        <v>7411.9745222929932</v>
      </c>
      <c r="P65" s="28">
        <v>0</v>
      </c>
    </row>
    <row r="66" spans="1:16" x14ac:dyDescent="0.25">
      <c r="A66" s="36" t="s">
        <v>169</v>
      </c>
      <c r="B66" s="1">
        <f>((VLOOKUP($A66,Материал!$A$3:$J$68,3,FALSE))*B$69)+B$70</f>
        <v>7501.5923566878982</v>
      </c>
      <c r="C66" s="1">
        <f>((VLOOKUP($A66,Материал!$A$3:$J$68,3,FALSE))*C$69)+C$70</f>
        <v>7551.751592356688</v>
      </c>
      <c r="D66" s="1">
        <f>((VLOOKUP($A66,Материал!$A$3:$J$68,3,FALSE))*D$69)+D$70</f>
        <v>7601.9108280254777</v>
      </c>
      <c r="E66" s="1">
        <f>((VLOOKUP($A66,Материал!$A$3:$J$68,3,FALSE))*E$69)+E$70</f>
        <v>7652.0700636942674</v>
      </c>
      <c r="F66" s="1">
        <f>((VLOOKUP($A66,Материал!$A$3:$J$68,3,FALSE))*F$69)+F$70</f>
        <v>7702.2292993630572</v>
      </c>
      <c r="G66" s="1">
        <f>((VLOOKUP($A66,Материал!$A$3:$J$68,3,FALSE))*G$69)+G$70</f>
        <v>7652.0700636942674</v>
      </c>
      <c r="H66" s="1">
        <f>((VLOOKUP($A66,Материал!$A$3:$J$68,3,FALSE))*H$69)+H$70</f>
        <v>15253.980891719744</v>
      </c>
      <c r="I66" s="1">
        <f>((VLOOKUP($A66,Материал!$A$3:$J$68,3,FALSE))*I$69)+I$70</f>
        <v>15304.140127388535</v>
      </c>
      <c r="J66" s="1">
        <f>((VLOOKUP($A66,Материал!$A$3:$J$68,3,FALSE))*J$69)+J$70</f>
        <v>15304.140127388535</v>
      </c>
      <c r="K66" s="1">
        <f>((VLOOKUP($A66,Материал!$A$3:$J$68,3,FALSE))*K$69)+K$70</f>
        <v>15203.821656050955</v>
      </c>
      <c r="L66" s="1">
        <f>((VLOOKUP($A66,Материал!$A$3:$J$68,3,FALSE))*L$69)+L$70</f>
        <v>15404.458598726114</v>
      </c>
      <c r="M66" s="1">
        <f>((VLOOKUP($A66,Материал!$A$3:$J$68,3,FALSE))*M$69)+M$70</f>
        <v>7421.3375796178343</v>
      </c>
      <c r="N66" s="1">
        <f>((VLOOKUP($A66,Материал!$A$3:$J$68,3,FALSE))*N$69)+N$70</f>
        <v>7421.3375796178343</v>
      </c>
      <c r="O66" s="1">
        <f>((VLOOKUP($A66,Материал!$A$3:$J$68,3,FALSE))*O$69)+O$70</f>
        <v>7421.3375796178343</v>
      </c>
      <c r="P66" s="28">
        <v>0</v>
      </c>
    </row>
    <row r="67" spans="1:16" x14ac:dyDescent="0.25">
      <c r="A67" s="37" t="s">
        <v>170</v>
      </c>
      <c r="B67" s="1">
        <f>((VLOOKUP($A67,Материал!$A$3:$J$68,3,FALSE))*B$69)+B$70</f>
        <v>7278.6624203821657</v>
      </c>
      <c r="C67" s="1">
        <f>((VLOOKUP($A67,Материал!$A$3:$J$68,3,FALSE))*C$69)+C$70</f>
        <v>7306.5286624203818</v>
      </c>
      <c r="D67" s="1">
        <f>((VLOOKUP($A67,Материал!$A$3:$J$68,3,FALSE))*D$69)+D$70</f>
        <v>7334.3949044585988</v>
      </c>
      <c r="E67" s="1">
        <f>((VLOOKUP($A67,Материал!$A$3:$J$68,3,FALSE))*E$69)+E$70</f>
        <v>7362.2611464968149</v>
      </c>
      <c r="F67" s="1">
        <f>((VLOOKUP($A67,Материал!$A$3:$J$68,3,FALSE))*F$69)+F$70</f>
        <v>7390.127388535032</v>
      </c>
      <c r="G67" s="1">
        <f>((VLOOKUP($A67,Материал!$A$3:$J$68,3,FALSE))*G$69)+G$70</f>
        <v>7362.2611464968149</v>
      </c>
      <c r="H67" s="1">
        <f>((VLOOKUP($A67,Материал!$A$3:$J$68,3,FALSE))*H$69)+H$70</f>
        <v>14696.656050955415</v>
      </c>
      <c r="I67" s="1">
        <f>((VLOOKUP($A67,Материал!$A$3:$J$68,3,FALSE))*I$69)+I$70</f>
        <v>14724.52229299363</v>
      </c>
      <c r="J67" s="1">
        <f>((VLOOKUP($A67,Материал!$A$3:$J$68,3,FALSE))*J$69)+J$70</f>
        <v>14724.52229299363</v>
      </c>
      <c r="K67" s="1">
        <f>((VLOOKUP($A67,Материал!$A$3:$J$68,3,FALSE))*K$69)+K$70</f>
        <v>14668.789808917198</v>
      </c>
      <c r="L67" s="1">
        <f>((VLOOKUP($A67,Материал!$A$3:$J$68,3,FALSE))*L$69)+L$70</f>
        <v>14780.254777070064</v>
      </c>
      <c r="M67" s="1">
        <f>((VLOOKUP($A67,Материал!$A$3:$J$68,3,FALSE))*M$69)+M$70</f>
        <v>7234.0764331210194</v>
      </c>
      <c r="N67" s="1">
        <f>((VLOOKUP($A67,Материал!$A$3:$J$68,3,FALSE))*N$69)+N$70</f>
        <v>7234.0764331210194</v>
      </c>
      <c r="O67" s="1">
        <f>((VLOOKUP($A67,Материал!$A$3:$J$68,3,FALSE))*O$69)+O$70</f>
        <v>7234.0764331210194</v>
      </c>
      <c r="P67" s="28">
        <v>0</v>
      </c>
    </row>
    <row r="69" spans="1:16" x14ac:dyDescent="0.25">
      <c r="A69" s="1" t="s">
        <v>178</v>
      </c>
      <c r="B69" s="10">
        <v>0.5</v>
      </c>
      <c r="C69" s="10">
        <v>0.55000000000000004</v>
      </c>
      <c r="D69" s="10">
        <v>0.6</v>
      </c>
      <c r="E69" s="10">
        <v>0.65</v>
      </c>
      <c r="F69" s="10">
        <v>0.7</v>
      </c>
      <c r="G69" s="10">
        <v>0.65</v>
      </c>
      <c r="H69" s="10">
        <v>1.25</v>
      </c>
      <c r="I69" s="10">
        <v>1.3</v>
      </c>
      <c r="J69" s="10">
        <v>1.3</v>
      </c>
      <c r="K69" s="10">
        <v>1.2</v>
      </c>
      <c r="L69" s="10">
        <v>1.4</v>
      </c>
      <c r="M69" s="10">
        <v>0.42</v>
      </c>
      <c r="N69" s="10">
        <v>0.42</v>
      </c>
      <c r="O69" s="10">
        <v>0.42</v>
      </c>
    </row>
    <row r="70" spans="1:16" x14ac:dyDescent="0.25">
      <c r="A70" s="1" t="s">
        <v>177</v>
      </c>
      <c r="B70" s="10">
        <v>7000</v>
      </c>
      <c r="C70" s="10">
        <v>7000</v>
      </c>
      <c r="D70" s="10">
        <v>7000</v>
      </c>
      <c r="E70" s="10">
        <v>7000</v>
      </c>
      <c r="F70" s="10">
        <v>7000</v>
      </c>
      <c r="G70" s="10">
        <v>7000</v>
      </c>
      <c r="H70" s="10">
        <v>14000</v>
      </c>
      <c r="I70" s="10">
        <v>14000</v>
      </c>
      <c r="J70" s="10">
        <v>14000</v>
      </c>
      <c r="K70" s="10">
        <v>14000</v>
      </c>
      <c r="L70" s="10">
        <v>14000</v>
      </c>
      <c r="M70" s="10">
        <v>7000</v>
      </c>
      <c r="N70" s="10">
        <v>7000</v>
      </c>
      <c r="O70" s="10">
        <v>7000</v>
      </c>
    </row>
  </sheetData>
  <pageMargins left="0.70866141732283472" right="0.70866141732283472" top="0.74803149606299213" bottom="0.74803149606299213" header="0.31496062992125984" footer="0.31496062992125984"/>
  <pageSetup paperSize="9" scale="63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67"/>
  <sheetViews>
    <sheetView topLeftCell="A45" workbookViewId="0">
      <selection activeCell="E65" sqref="E65"/>
    </sheetView>
  </sheetViews>
  <sheetFormatPr defaultColWidth="8.85546875" defaultRowHeight="15" x14ac:dyDescent="0.25"/>
  <cols>
    <col min="1" max="1" width="30.28515625" style="52" customWidth="1"/>
    <col min="2" max="15" width="8.28515625" style="52" customWidth="1"/>
    <col min="16" max="16" width="7.140625" style="52" customWidth="1"/>
    <col min="17" max="17" width="8.85546875" style="52"/>
    <col min="18" max="18" width="16.42578125" style="52" customWidth="1"/>
    <col min="19" max="16384" width="8.85546875" style="52"/>
  </cols>
  <sheetData>
    <row r="1" spans="1:19" ht="101.25" customHeight="1" x14ac:dyDescent="0.25">
      <c r="A1" s="1"/>
      <c r="B1" s="55" t="s">
        <v>86</v>
      </c>
      <c r="C1" s="55" t="s">
        <v>87</v>
      </c>
      <c r="D1" s="55" t="s">
        <v>88</v>
      </c>
      <c r="E1" s="55" t="s">
        <v>89</v>
      </c>
      <c r="F1" s="55" t="s">
        <v>90</v>
      </c>
      <c r="G1" s="55" t="s">
        <v>91</v>
      </c>
      <c r="H1" s="55" t="s">
        <v>92</v>
      </c>
      <c r="I1" s="55" t="s">
        <v>93</v>
      </c>
      <c r="J1" s="55" t="s">
        <v>94</v>
      </c>
      <c r="K1" s="55" t="s">
        <v>95</v>
      </c>
      <c r="L1" s="55" t="s">
        <v>96</v>
      </c>
      <c r="M1" s="55" t="s">
        <v>97</v>
      </c>
      <c r="N1" s="55" t="s">
        <v>98</v>
      </c>
      <c r="O1" s="55" t="s">
        <v>99</v>
      </c>
      <c r="P1" s="55" t="s">
        <v>100</v>
      </c>
    </row>
    <row r="2" spans="1:19" x14ac:dyDescent="0.25">
      <c r="A2" s="1" t="s">
        <v>10</v>
      </c>
      <c r="B2" s="1">
        <f>CEILING('мойки себестоимость'!B2*(1+'мойки для партнеров'!$S$2),100)</f>
        <v>11100</v>
      </c>
      <c r="C2" s="1">
        <f>CEILING('мойки себестоимость'!C2*(1+'мойки для партнеров'!$S$2),100)</f>
        <v>11100</v>
      </c>
      <c r="D2" s="1">
        <f>CEILING('мойки себестоимость'!D2*(1+'мойки для партнеров'!$S$2),100)</f>
        <v>11200</v>
      </c>
      <c r="E2" s="1">
        <f>CEILING('мойки себестоимость'!E2*(1+'мойки для партнеров'!$S$2),100)</f>
        <v>11200</v>
      </c>
      <c r="F2" s="1">
        <f>CEILING('мойки себестоимость'!F2*(1+'мойки для партнеров'!$S$2),100)</f>
        <v>11300</v>
      </c>
      <c r="G2" s="1">
        <f>CEILING('мойки себестоимость'!G2*(1+'мойки для партнеров'!$S$2),100)</f>
        <v>11200</v>
      </c>
      <c r="H2" s="1">
        <f>CEILING('мойки себестоимость'!H2*(1+'мойки для партнеров'!$S$2),100)</f>
        <v>22400</v>
      </c>
      <c r="I2" s="1">
        <f>CEILING('мойки себестоимость'!I2*(1+'мойки для партнеров'!$S$2),100)</f>
        <v>22400</v>
      </c>
      <c r="J2" s="1">
        <f>CEILING('мойки себестоимость'!J2*(1+'мойки для партнеров'!$S$2),100)</f>
        <v>22400</v>
      </c>
      <c r="K2" s="1">
        <f>CEILING('мойки себестоимость'!K2*(1+'мойки для партнеров'!$S$2),100)</f>
        <v>22300</v>
      </c>
      <c r="L2" s="1">
        <f>CEILING('мойки себестоимость'!L2*(1+'мойки для партнеров'!$S$2),100)</f>
        <v>22500</v>
      </c>
      <c r="M2" s="1">
        <f>CEILING('мойки себестоимость'!M2*(1+'мойки для партнеров'!$S$2),100)</f>
        <v>11000</v>
      </c>
      <c r="N2" s="1">
        <f>CEILING('мойки себестоимость'!N2*(1+'мойки для партнеров'!$S$2),100)</f>
        <v>11000</v>
      </c>
      <c r="O2" s="1">
        <f>CEILING('мойки себестоимость'!O2*(1+'мойки для партнеров'!$S$2),100)</f>
        <v>11000</v>
      </c>
      <c r="P2" s="28">
        <v>0</v>
      </c>
      <c r="R2" s="52" t="s">
        <v>65</v>
      </c>
      <c r="S2" s="56">
        <v>0.5</v>
      </c>
    </row>
    <row r="3" spans="1:19" x14ac:dyDescent="0.25">
      <c r="A3" s="1" t="s">
        <v>11</v>
      </c>
      <c r="B3" s="1">
        <f>CEILING('мойки себестоимость'!B3*(1+'мойки для партнеров'!$S$2),100)</f>
        <v>11200</v>
      </c>
      <c r="C3" s="1">
        <f>CEILING('мойки себестоимость'!C3*(1+'мойки для партнеров'!$S$2),100)</f>
        <v>11200</v>
      </c>
      <c r="D3" s="1">
        <f>CEILING('мойки себестоимость'!D3*(1+'мойки для партнеров'!$S$2),100)</f>
        <v>11300</v>
      </c>
      <c r="E3" s="1">
        <f>CEILING('мойки себестоимость'!E3*(1+'мойки для партнеров'!$S$2),100)</f>
        <v>11300</v>
      </c>
      <c r="F3" s="1">
        <f>CEILING('мойки себестоимость'!F3*(1+'мойки для партнеров'!$S$2),100)</f>
        <v>11400</v>
      </c>
      <c r="G3" s="1">
        <f>CEILING('мойки себестоимость'!G3*(1+'мойки для партнеров'!$S$2),100)</f>
        <v>11300</v>
      </c>
      <c r="H3" s="1">
        <f>CEILING('мойки себестоимость'!H3*(1+'мойки для партнеров'!$S$2),100)</f>
        <v>22600</v>
      </c>
      <c r="I3" s="1">
        <f>CEILING('мойки себестоимость'!I3*(1+'мойки для партнеров'!$S$2),100)</f>
        <v>22600</v>
      </c>
      <c r="J3" s="1">
        <f>CEILING('мойки себестоимость'!J3*(1+'мойки для партнеров'!$S$2),100)</f>
        <v>22600</v>
      </c>
      <c r="K3" s="1">
        <f>CEILING('мойки себестоимость'!K3*(1+'мойки для партнеров'!$S$2),100)</f>
        <v>22500</v>
      </c>
      <c r="L3" s="1">
        <f>CEILING('мойки себестоимость'!L3*(1+'мойки для партнеров'!$S$2),100)</f>
        <v>22700</v>
      </c>
      <c r="M3" s="1">
        <f>CEILING('мойки себестоимость'!M3*(1+'мойки для партнеров'!$S$2),100)</f>
        <v>11100</v>
      </c>
      <c r="N3" s="1">
        <f>CEILING('мойки себестоимость'!N3*(1+'мойки для партнеров'!$S$2),100)</f>
        <v>11100</v>
      </c>
      <c r="O3" s="1">
        <f>CEILING('мойки себестоимость'!O3*(1+'мойки для партнеров'!$S$2),100)</f>
        <v>11100</v>
      </c>
      <c r="P3" s="28">
        <v>0</v>
      </c>
    </row>
    <row r="4" spans="1:19" x14ac:dyDescent="0.25">
      <c r="A4" s="1" t="s">
        <v>12</v>
      </c>
      <c r="B4" s="1">
        <f>CEILING('мойки себестоимость'!B4*(1+'мойки для партнеров'!$S$2),100)</f>
        <v>11200</v>
      </c>
      <c r="C4" s="1">
        <f>CEILING('мойки себестоимость'!C4*(1+'мойки для партнеров'!$S$2),100)</f>
        <v>11300</v>
      </c>
      <c r="D4" s="1">
        <f>CEILING('мойки себестоимость'!D4*(1+'мойки для партнеров'!$S$2),100)</f>
        <v>11300</v>
      </c>
      <c r="E4" s="1">
        <f>CEILING('мойки себестоимость'!E4*(1+'мойки для партнеров'!$S$2),100)</f>
        <v>11400</v>
      </c>
      <c r="F4" s="1">
        <f>CEILING('мойки себестоимость'!F4*(1+'мойки для партнеров'!$S$2),100)</f>
        <v>11500</v>
      </c>
      <c r="G4" s="1">
        <f>CEILING('мойки себестоимость'!G4*(1+'мойки для партнеров'!$S$2),100)</f>
        <v>11400</v>
      </c>
      <c r="H4" s="1">
        <f>CEILING('мойки себестоимость'!H4*(1+'мойки для партнеров'!$S$2),100)</f>
        <v>22700</v>
      </c>
      <c r="I4" s="1">
        <f>CEILING('мойки себестоимость'!I4*(1+'мойки для партнеров'!$S$2),100)</f>
        <v>22800</v>
      </c>
      <c r="J4" s="1">
        <f>CEILING('мойки себестоимость'!J4*(1+'мойки для партнеров'!$S$2),100)</f>
        <v>22800</v>
      </c>
      <c r="K4" s="1">
        <f>CEILING('мойки себестоимость'!K4*(1+'мойки для партнеров'!$S$2),100)</f>
        <v>22600</v>
      </c>
      <c r="L4" s="1">
        <f>CEILING('мойки себестоимость'!L4*(1+'мойки для партнеров'!$S$2),100)</f>
        <v>22900</v>
      </c>
      <c r="M4" s="1">
        <f>CEILING('мойки себестоимость'!M4*(1+'мойки для партнеров'!$S$2),100)</f>
        <v>11100</v>
      </c>
      <c r="N4" s="1">
        <f>CEILING('мойки себестоимость'!N4*(1+'мойки для партнеров'!$S$2),100)</f>
        <v>11100</v>
      </c>
      <c r="O4" s="1">
        <f>CEILING('мойки себестоимость'!O4*(1+'мойки для партнеров'!$S$2),100)</f>
        <v>11100</v>
      </c>
      <c r="P4" s="28">
        <v>0</v>
      </c>
    </row>
    <row r="5" spans="1:19" x14ac:dyDescent="0.25">
      <c r="A5" s="1" t="s">
        <v>13</v>
      </c>
      <c r="B5" s="1">
        <f>CEILING('мойки себестоимость'!B5*(1+'мойки для партнеров'!$S$2),100)</f>
        <v>11300</v>
      </c>
      <c r="C5" s="1">
        <f>CEILING('мойки себестоимость'!C5*(1+'мойки для партнеров'!$S$2),100)</f>
        <v>11400</v>
      </c>
      <c r="D5" s="1">
        <f>CEILING('мойки себестоимость'!D5*(1+'мойки для партнеров'!$S$2),100)</f>
        <v>11400</v>
      </c>
      <c r="E5" s="1">
        <f>CEILING('мойки себестоимость'!E5*(1+'мойки для партнеров'!$S$2),100)</f>
        <v>11500</v>
      </c>
      <c r="F5" s="1">
        <f>CEILING('мойки себестоимость'!F5*(1+'мойки для партнеров'!$S$2),100)</f>
        <v>11600</v>
      </c>
      <c r="G5" s="1">
        <f>CEILING('мойки себестоимость'!G5*(1+'мойки для партнеров'!$S$2),100)</f>
        <v>11500</v>
      </c>
      <c r="H5" s="1">
        <f>CEILING('мойки себестоимость'!H5*(1+'мойки для партнеров'!$S$2),100)</f>
        <v>22900</v>
      </c>
      <c r="I5" s="1">
        <f>CEILING('мойки себестоимость'!I5*(1+'мойки для партнеров'!$S$2),100)</f>
        <v>22900</v>
      </c>
      <c r="J5" s="1">
        <f>CEILING('мойки себестоимость'!J5*(1+'мойки для партнеров'!$S$2),100)</f>
        <v>22900</v>
      </c>
      <c r="K5" s="1">
        <f>CEILING('мойки себестоимость'!K5*(1+'мойки для партнеров'!$S$2),100)</f>
        <v>22800</v>
      </c>
      <c r="L5" s="1">
        <f>CEILING('мойки себестоимость'!L5*(1+'мойки для партнеров'!$S$2),100)</f>
        <v>23100</v>
      </c>
      <c r="M5" s="1">
        <f>CEILING('мойки себестоимость'!M5*(1+'мойки для партнеров'!$S$2),100)</f>
        <v>11200</v>
      </c>
      <c r="N5" s="1">
        <f>CEILING('мойки себестоимость'!N5*(1+'мойки для партнеров'!$S$2),100)</f>
        <v>11200</v>
      </c>
      <c r="O5" s="1">
        <f>CEILING('мойки себестоимость'!O5*(1+'мойки для партнеров'!$S$2),100)</f>
        <v>11200</v>
      </c>
      <c r="P5" s="28">
        <v>0</v>
      </c>
    </row>
    <row r="6" spans="1:19" x14ac:dyDescent="0.25">
      <c r="A6" s="6" t="s">
        <v>151</v>
      </c>
      <c r="B6" s="1">
        <f>CEILING('мойки себестоимость'!B6*(1+'мойки для партнеров'!$S$2),100)</f>
        <v>11100</v>
      </c>
      <c r="C6" s="1">
        <f>CEILING('мойки себестоимость'!C6*(1+'мойки для партнеров'!$S$2),100)</f>
        <v>11100</v>
      </c>
      <c r="D6" s="1">
        <f>CEILING('мойки себестоимость'!D6*(1+'мойки для партнеров'!$S$2),100)</f>
        <v>11200</v>
      </c>
      <c r="E6" s="1">
        <f>CEILING('мойки себестоимость'!E6*(1+'мойки для партнеров'!$S$2),100)</f>
        <v>11200</v>
      </c>
      <c r="F6" s="1">
        <f>CEILING('мойки себестоимость'!F6*(1+'мойки для партнеров'!$S$2),100)</f>
        <v>11300</v>
      </c>
      <c r="G6" s="1">
        <f>CEILING('мойки себестоимость'!G6*(1+'мойки для партнеров'!$S$2),100)</f>
        <v>11200</v>
      </c>
      <c r="H6" s="1">
        <f>CEILING('мойки себестоимость'!H6*(1+'мойки для партнеров'!$S$2),100)</f>
        <v>22300</v>
      </c>
      <c r="I6" s="1">
        <f>CEILING('мойки себестоимость'!I6*(1+'мойки для партнеров'!$S$2),100)</f>
        <v>22400</v>
      </c>
      <c r="J6" s="1">
        <f>CEILING('мойки себестоимость'!J6*(1+'мойки для партнеров'!$S$2),100)</f>
        <v>22400</v>
      </c>
      <c r="K6" s="1">
        <f>CEILING('мойки себестоимость'!K6*(1+'мойки для партнеров'!$S$2),100)</f>
        <v>22300</v>
      </c>
      <c r="L6" s="1">
        <f>CEILING('мойки себестоимость'!L6*(1+'мойки для партнеров'!$S$2),100)</f>
        <v>22500</v>
      </c>
      <c r="M6" s="1">
        <f>CEILING('мойки себестоимость'!M6*(1+'мойки для партнеров'!$S$2),100)</f>
        <v>11000</v>
      </c>
      <c r="N6" s="1">
        <f>CEILING('мойки себестоимость'!N6*(1+'мойки для партнеров'!$S$2),100)</f>
        <v>11000</v>
      </c>
      <c r="O6" s="1">
        <f>CEILING('мойки себестоимость'!O6*(1+'мойки для партнеров'!$S$2),100)</f>
        <v>11000</v>
      </c>
      <c r="P6" s="28">
        <v>0</v>
      </c>
    </row>
    <row r="7" spans="1:19" x14ac:dyDescent="0.25">
      <c r="A7" s="36" t="s">
        <v>147</v>
      </c>
      <c r="B7" s="1">
        <f>CEILING('мойки себестоимость'!B7*(1+'мойки для партнеров'!$S$2),100)</f>
        <v>11100</v>
      </c>
      <c r="C7" s="1">
        <f>CEILING('мойки себестоимость'!C7*(1+'мойки для партнеров'!$S$2),100)</f>
        <v>11100</v>
      </c>
      <c r="D7" s="1">
        <f>CEILING('мойки себестоимость'!D7*(1+'мойки для партнеров'!$S$2),100)</f>
        <v>11200</v>
      </c>
      <c r="E7" s="1">
        <f>CEILING('мойки себестоимость'!E7*(1+'мойки для партнеров'!$S$2),100)</f>
        <v>11200</v>
      </c>
      <c r="F7" s="1">
        <f>CEILING('мойки себестоимость'!F7*(1+'мойки для партнеров'!$S$2),100)</f>
        <v>11300</v>
      </c>
      <c r="G7" s="1">
        <f>CEILING('мойки себестоимость'!G7*(1+'мойки для партнеров'!$S$2),100)</f>
        <v>11200</v>
      </c>
      <c r="H7" s="1">
        <f>CEILING('мойки себестоимость'!H7*(1+'мойки для партнеров'!$S$2),100)</f>
        <v>22300</v>
      </c>
      <c r="I7" s="1">
        <f>CEILING('мойки себестоимость'!I7*(1+'мойки для партнеров'!$S$2),100)</f>
        <v>22400</v>
      </c>
      <c r="J7" s="1">
        <f>CEILING('мойки себестоимость'!J7*(1+'мойки для партнеров'!$S$2),100)</f>
        <v>22400</v>
      </c>
      <c r="K7" s="1">
        <f>CEILING('мойки себестоимость'!K7*(1+'мойки для партнеров'!$S$2),100)</f>
        <v>22300</v>
      </c>
      <c r="L7" s="1">
        <f>CEILING('мойки себестоимость'!L7*(1+'мойки для партнеров'!$S$2),100)</f>
        <v>22500</v>
      </c>
      <c r="M7" s="1">
        <f>CEILING('мойки себестоимость'!M7*(1+'мойки для партнеров'!$S$2),100)</f>
        <v>11000</v>
      </c>
      <c r="N7" s="1">
        <f>CEILING('мойки себестоимость'!N7*(1+'мойки для партнеров'!$S$2),100)</f>
        <v>11000</v>
      </c>
      <c r="O7" s="1">
        <f>CEILING('мойки себестоимость'!O7*(1+'мойки для партнеров'!$S$2),100)</f>
        <v>11000</v>
      </c>
      <c r="P7" s="28">
        <v>0</v>
      </c>
    </row>
    <row r="8" spans="1:19" x14ac:dyDescent="0.25">
      <c r="A8" s="36" t="s">
        <v>148</v>
      </c>
      <c r="B8" s="1">
        <f>CEILING('мойки себестоимость'!B8*(1+'мойки для партнеров'!$S$2),100)</f>
        <v>11100</v>
      </c>
      <c r="C8" s="1">
        <f>CEILING('мойки себестоимость'!C8*(1+'мойки для партнеров'!$S$2),100)</f>
        <v>11200</v>
      </c>
      <c r="D8" s="1">
        <f>CEILING('мойки себестоимость'!D8*(1+'мойки для партнеров'!$S$2),100)</f>
        <v>11200</v>
      </c>
      <c r="E8" s="1">
        <f>CEILING('мойки себестоимость'!E8*(1+'мойки для партнеров'!$S$2),100)</f>
        <v>11300</v>
      </c>
      <c r="F8" s="1">
        <f>CEILING('мойки себестоимость'!F8*(1+'мойки для партнеров'!$S$2),100)</f>
        <v>11300</v>
      </c>
      <c r="G8" s="1">
        <f>CEILING('мойки себестоимость'!G8*(1+'мойки для партнеров'!$S$2),100)</f>
        <v>11300</v>
      </c>
      <c r="H8" s="1">
        <f>CEILING('мойки себестоимость'!H8*(1+'мойки для партнеров'!$S$2),100)</f>
        <v>22500</v>
      </c>
      <c r="I8" s="1">
        <f>CEILING('мойки себестоимость'!I8*(1+'мойки для партнеров'!$S$2),100)</f>
        <v>22500</v>
      </c>
      <c r="J8" s="1">
        <f>CEILING('мойки себестоимость'!J8*(1+'мойки для партнеров'!$S$2),100)</f>
        <v>22500</v>
      </c>
      <c r="K8" s="1">
        <f>CEILING('мойки себестоимость'!K8*(1+'мойки для партнеров'!$S$2),100)</f>
        <v>22400</v>
      </c>
      <c r="L8" s="1">
        <f>CEILING('мойки себестоимость'!L8*(1+'мойки для партнеров'!$S$2),100)</f>
        <v>22600</v>
      </c>
      <c r="M8" s="1">
        <f>CEILING('мойки себестоимость'!M8*(1+'мойки для партнеров'!$S$2),100)</f>
        <v>11000</v>
      </c>
      <c r="N8" s="1">
        <f>CEILING('мойки себестоимость'!N8*(1+'мойки для партнеров'!$S$2),100)</f>
        <v>11000</v>
      </c>
      <c r="O8" s="1">
        <f>CEILING('мойки себестоимость'!O8*(1+'мойки для партнеров'!$S$2),100)</f>
        <v>11000</v>
      </c>
      <c r="P8" s="28">
        <v>0</v>
      </c>
    </row>
    <row r="9" spans="1:19" x14ac:dyDescent="0.25">
      <c r="A9" s="36" t="s">
        <v>150</v>
      </c>
      <c r="B9" s="1">
        <f>CEILING('мойки себестоимость'!B9*(1+'мойки для партнеров'!$S$2),100)</f>
        <v>11100</v>
      </c>
      <c r="C9" s="1">
        <f>CEILING('мойки себестоимость'!C9*(1+'мойки для партнеров'!$S$2),100)</f>
        <v>11200</v>
      </c>
      <c r="D9" s="1">
        <f>CEILING('мойки себестоимость'!D9*(1+'мойки для партнеров'!$S$2),100)</f>
        <v>11200</v>
      </c>
      <c r="E9" s="1">
        <f>CEILING('мойки себестоимость'!E9*(1+'мойки для партнеров'!$S$2),100)</f>
        <v>11300</v>
      </c>
      <c r="F9" s="1">
        <f>CEILING('мойки себестоимость'!F9*(1+'мойки для партнеров'!$S$2),100)</f>
        <v>11300</v>
      </c>
      <c r="G9" s="1">
        <f>CEILING('мойки себестоимость'!G9*(1+'мойки для партнеров'!$S$2),100)</f>
        <v>11300</v>
      </c>
      <c r="H9" s="1">
        <f>CEILING('мойки себестоимость'!H9*(1+'мойки для партнеров'!$S$2),100)</f>
        <v>22500</v>
      </c>
      <c r="I9" s="1">
        <f>CEILING('мойки себестоимость'!I9*(1+'мойки для партнеров'!$S$2),100)</f>
        <v>22500</v>
      </c>
      <c r="J9" s="1">
        <f>CEILING('мойки себестоимость'!J9*(1+'мойки для партнеров'!$S$2),100)</f>
        <v>22500</v>
      </c>
      <c r="K9" s="1">
        <f>CEILING('мойки себестоимость'!K9*(1+'мойки для партнеров'!$S$2),100)</f>
        <v>22400</v>
      </c>
      <c r="L9" s="1">
        <f>CEILING('мойки себестоимость'!L9*(1+'мойки для партнеров'!$S$2),100)</f>
        <v>22600</v>
      </c>
      <c r="M9" s="1">
        <f>CEILING('мойки себестоимость'!M9*(1+'мойки для партнеров'!$S$2),100)</f>
        <v>11000</v>
      </c>
      <c r="N9" s="1">
        <f>CEILING('мойки себестоимость'!N9*(1+'мойки для партнеров'!$S$2),100)</f>
        <v>11000</v>
      </c>
      <c r="O9" s="1">
        <f>CEILING('мойки себестоимость'!O9*(1+'мойки для партнеров'!$S$2),100)</f>
        <v>11000</v>
      </c>
      <c r="P9" s="28">
        <v>0</v>
      </c>
    </row>
    <row r="10" spans="1:19" x14ac:dyDescent="0.25">
      <c r="A10" s="6" t="s">
        <v>152</v>
      </c>
      <c r="B10" s="1">
        <f>CEILING('мойки себестоимость'!B10*(1+'мойки для партнеров'!$S$2),100)</f>
        <v>11400</v>
      </c>
      <c r="C10" s="1">
        <f>CEILING('мойки себестоимость'!C10*(1+'мойки для партнеров'!$S$2),100)</f>
        <v>11400</v>
      </c>
      <c r="D10" s="1">
        <f>CEILING('мойки себестоимость'!D10*(1+'мойки для партнеров'!$S$2),100)</f>
        <v>11500</v>
      </c>
      <c r="E10" s="1">
        <f>CEILING('мойки себестоимость'!E10*(1+'мойки для партнеров'!$S$2),100)</f>
        <v>11600</v>
      </c>
      <c r="F10" s="1">
        <f>CEILING('мойки себестоимость'!F10*(1+'мойки для партнеров'!$S$2),100)</f>
        <v>11700</v>
      </c>
      <c r="G10" s="1">
        <f>CEILING('мойки себестоимость'!G10*(1+'мойки для партнеров'!$S$2),100)</f>
        <v>11600</v>
      </c>
      <c r="H10" s="1">
        <f>CEILING('мойки себестоимость'!H10*(1+'мойки для партнеров'!$S$2),100)</f>
        <v>23100</v>
      </c>
      <c r="I10" s="1">
        <f>CEILING('мойки себестоимость'!I10*(1+'мойки для партнеров'!$S$2),100)</f>
        <v>23100</v>
      </c>
      <c r="J10" s="1">
        <f>CEILING('мойки себестоимость'!J10*(1+'мойки для партнеров'!$S$2),100)</f>
        <v>23100</v>
      </c>
      <c r="K10" s="1">
        <f>CEILING('мойки себестоимость'!K10*(1+'мойки для партнеров'!$S$2),100)</f>
        <v>23000</v>
      </c>
      <c r="L10" s="1">
        <f>CEILING('мойки себестоимость'!L10*(1+'мойки для партнеров'!$S$2),100)</f>
        <v>23300</v>
      </c>
      <c r="M10" s="1">
        <f>CEILING('мойки себестоимость'!M10*(1+'мойки для партнеров'!$S$2),100)</f>
        <v>11200</v>
      </c>
      <c r="N10" s="1">
        <f>CEILING('мойки себестоимость'!N10*(1+'мойки для партнеров'!$S$2),100)</f>
        <v>11200</v>
      </c>
      <c r="O10" s="1">
        <f>CEILING('мойки себестоимость'!O10*(1+'мойки для партнеров'!$S$2),100)</f>
        <v>11200</v>
      </c>
      <c r="P10" s="28">
        <v>0</v>
      </c>
    </row>
    <row r="11" spans="1:19" x14ac:dyDescent="0.25">
      <c r="A11" s="6" t="s">
        <v>149</v>
      </c>
      <c r="B11" s="1">
        <f>CEILING('мойки себестоимость'!B11*(1+'мойки для партнеров'!$S$2),100)</f>
        <v>11100</v>
      </c>
      <c r="C11" s="1">
        <f>CEILING('мойки себестоимость'!C11*(1+'мойки для партнеров'!$S$2),100)</f>
        <v>11200</v>
      </c>
      <c r="D11" s="1">
        <f>CEILING('мойки себестоимость'!D11*(1+'мойки для партнеров'!$S$2),100)</f>
        <v>11300</v>
      </c>
      <c r="E11" s="1">
        <f>CEILING('мойки себестоимость'!E11*(1+'мойки для партнеров'!$S$2),100)</f>
        <v>11300</v>
      </c>
      <c r="F11" s="1">
        <f>CEILING('мойки себестоимость'!F11*(1+'мойки для партнеров'!$S$2),100)</f>
        <v>11400</v>
      </c>
      <c r="G11" s="1">
        <f>CEILING('мойки себестоимость'!G11*(1+'мойки для партнеров'!$S$2),100)</f>
        <v>11300</v>
      </c>
      <c r="H11" s="1">
        <f>CEILING('мойки себестоимость'!H11*(1+'мойки для партнеров'!$S$2),100)</f>
        <v>22500</v>
      </c>
      <c r="I11" s="1">
        <f>CEILING('мойки себестоимость'!I11*(1+'мойки для партнеров'!$S$2),100)</f>
        <v>22600</v>
      </c>
      <c r="J11" s="1">
        <f>CEILING('мойки себестоимость'!J11*(1+'мойки для партнеров'!$S$2),100)</f>
        <v>22600</v>
      </c>
      <c r="K11" s="1">
        <f>CEILING('мойки себестоимость'!K11*(1+'мойки для партнеров'!$S$2),100)</f>
        <v>22500</v>
      </c>
      <c r="L11" s="1">
        <f>CEILING('мойки себестоимость'!L11*(1+'мойки для партнеров'!$S$2),100)</f>
        <v>22700</v>
      </c>
      <c r="M11" s="1">
        <f>CEILING('мойки себестоимость'!M11*(1+'мойки для партнеров'!$S$2),100)</f>
        <v>11000</v>
      </c>
      <c r="N11" s="1">
        <f>CEILING('мойки себестоимость'!N11*(1+'мойки для партнеров'!$S$2),100)</f>
        <v>11000</v>
      </c>
      <c r="O11" s="1">
        <f>CEILING('мойки себестоимость'!O11*(1+'мойки для партнеров'!$S$2),100)</f>
        <v>11000</v>
      </c>
      <c r="P11" s="28">
        <v>0</v>
      </c>
    </row>
    <row r="12" spans="1:19" x14ac:dyDescent="0.25">
      <c r="A12" s="10" t="s">
        <v>153</v>
      </c>
      <c r="B12" s="1">
        <f>CEILING('мойки себестоимость'!B12*(1+'мойки для партнеров'!$S$2),100)</f>
        <v>11400</v>
      </c>
      <c r="C12" s="1">
        <f>CEILING('мойки себестоимость'!C12*(1+'мойки для партнеров'!$S$2),100)</f>
        <v>11400</v>
      </c>
      <c r="D12" s="1">
        <f>CEILING('мойки себестоимость'!D12*(1+'мойки для партнеров'!$S$2),100)</f>
        <v>11500</v>
      </c>
      <c r="E12" s="1">
        <f>CEILING('мойки себестоимость'!E12*(1+'мойки для партнеров'!$S$2),100)</f>
        <v>11600</v>
      </c>
      <c r="F12" s="1">
        <f>CEILING('мойки себестоимость'!F12*(1+'мойки для партнеров'!$S$2),100)</f>
        <v>11700</v>
      </c>
      <c r="G12" s="1">
        <f>CEILING('мойки себестоимость'!G12*(1+'мойки для партнеров'!$S$2),100)</f>
        <v>11600</v>
      </c>
      <c r="H12" s="1">
        <f>CEILING('мойки себестоимость'!H12*(1+'мойки для партнеров'!$S$2),100)</f>
        <v>23100</v>
      </c>
      <c r="I12" s="1">
        <f>CEILING('мойки себестоимость'!I12*(1+'мойки для партнеров'!$S$2),100)</f>
        <v>23100</v>
      </c>
      <c r="J12" s="1">
        <f>CEILING('мойки себестоимость'!J12*(1+'мойки для партнеров'!$S$2),100)</f>
        <v>23100</v>
      </c>
      <c r="K12" s="1">
        <f>CEILING('мойки себестоимость'!K12*(1+'мойки для партнеров'!$S$2),100)</f>
        <v>23000</v>
      </c>
      <c r="L12" s="1">
        <f>CEILING('мойки себестоимость'!L12*(1+'мойки для партнеров'!$S$2),100)</f>
        <v>23300</v>
      </c>
      <c r="M12" s="1">
        <f>CEILING('мойки себестоимость'!M12*(1+'мойки для партнеров'!$S$2),100)</f>
        <v>11200</v>
      </c>
      <c r="N12" s="1">
        <f>CEILING('мойки себестоимость'!N12*(1+'мойки для партнеров'!$S$2),100)</f>
        <v>11200</v>
      </c>
      <c r="O12" s="1">
        <f>CEILING('мойки себестоимость'!O12*(1+'мойки для партнеров'!$S$2),100)</f>
        <v>11200</v>
      </c>
      <c r="P12" s="28">
        <v>0</v>
      </c>
    </row>
    <row r="13" spans="1:19" x14ac:dyDescent="0.25">
      <c r="A13" s="37" t="s">
        <v>154</v>
      </c>
      <c r="B13" s="1">
        <f>CEILING('мойки себестоимость'!B13*(1+'мойки для партнеров'!$S$2),100)</f>
        <v>11500</v>
      </c>
      <c r="C13" s="1">
        <f>CEILING('мойки себестоимость'!C13*(1+'мойки для партнеров'!$S$2),100)</f>
        <v>11600</v>
      </c>
      <c r="D13" s="1">
        <f>CEILING('мойки себестоимость'!D13*(1+'мойки для партнеров'!$S$2),100)</f>
        <v>11700</v>
      </c>
      <c r="E13" s="1">
        <f>CEILING('мойки себестоимость'!E13*(1+'мойки для партнеров'!$S$2),100)</f>
        <v>11800</v>
      </c>
      <c r="F13" s="1">
        <f>CEILING('мойки себестоимость'!F13*(1+'мойки для партнеров'!$S$2),100)</f>
        <v>11900</v>
      </c>
      <c r="G13" s="1">
        <f>CEILING('мойки себестоимость'!G13*(1+'мойки для партнеров'!$S$2),100)</f>
        <v>11800</v>
      </c>
      <c r="H13" s="1">
        <f>CEILING('мойки себестоимость'!H13*(1+'мойки для партнеров'!$S$2),100)</f>
        <v>23400</v>
      </c>
      <c r="I13" s="1">
        <f>CEILING('мойки себестоимость'!I13*(1+'мойки для партнеров'!$S$2),100)</f>
        <v>23500</v>
      </c>
      <c r="J13" s="1">
        <f>CEILING('мойки себестоимость'!J13*(1+'мойки для партнеров'!$S$2),100)</f>
        <v>23500</v>
      </c>
      <c r="K13" s="1">
        <f>CEILING('мойки себестоимость'!K13*(1+'мойки для партнеров'!$S$2),100)</f>
        <v>23300</v>
      </c>
      <c r="L13" s="1">
        <f>CEILING('мойки себестоимость'!L13*(1+'мойки для партнеров'!$S$2),100)</f>
        <v>23700</v>
      </c>
      <c r="M13" s="1">
        <f>CEILING('мойки себестоимость'!M13*(1+'мойки для партнеров'!$S$2),100)</f>
        <v>11300</v>
      </c>
      <c r="N13" s="1">
        <f>CEILING('мойки себестоимость'!N13*(1+'мойки для партнеров'!$S$2),100)</f>
        <v>11300</v>
      </c>
      <c r="O13" s="1">
        <f>CEILING('мойки себестоимость'!O13*(1+'мойки для партнеров'!$S$2),100)</f>
        <v>11300</v>
      </c>
      <c r="P13" s="28">
        <v>0</v>
      </c>
    </row>
    <row r="14" spans="1:19" x14ac:dyDescent="0.25">
      <c r="A14" s="37" t="s">
        <v>272</v>
      </c>
      <c r="B14" s="1">
        <f>CEILING('мойки себестоимость'!B14*(1+'мойки для партнеров'!$S$2),100)</f>
        <v>10800</v>
      </c>
      <c r="C14" s="1">
        <f>CEILING('мойки себестоимость'!C14*(1+'мойки для партнеров'!$S$2),100)</f>
        <v>10900</v>
      </c>
      <c r="D14" s="1">
        <f>CEILING('мойки себестоимость'!D14*(1+'мойки для партнеров'!$S$2),100)</f>
        <v>10900</v>
      </c>
      <c r="E14" s="1">
        <f>CEILING('мойки себестоимость'!E14*(1+'мойки для партнеров'!$S$2),100)</f>
        <v>10900</v>
      </c>
      <c r="F14" s="1">
        <f>CEILING('мойки себестоимость'!F14*(1+'мойки для партнеров'!$S$2),100)</f>
        <v>11000</v>
      </c>
      <c r="G14" s="1">
        <f>CEILING('мойки себестоимость'!G14*(1+'мойки для партнеров'!$S$2),100)</f>
        <v>10900</v>
      </c>
      <c r="H14" s="1">
        <f>CEILING('мойки себестоимость'!H14*(1+'мойки для партнеров'!$S$2),100)</f>
        <v>21800</v>
      </c>
      <c r="I14" s="1">
        <f>CEILING('мойки себестоимость'!I14*(1+'мойки для партнеров'!$S$2),100)</f>
        <v>21800</v>
      </c>
      <c r="J14" s="1">
        <f>CEILING('мойки себестоимость'!J14*(1+'мойки для партнеров'!$S$2),100)</f>
        <v>21800</v>
      </c>
      <c r="K14" s="1">
        <f>CEILING('мойки себестоимость'!K14*(1+'мойки для партнеров'!$S$2),100)</f>
        <v>21700</v>
      </c>
      <c r="L14" s="1">
        <f>CEILING('мойки себестоимость'!L14*(1+'мойки для партнеров'!$S$2),100)</f>
        <v>21900</v>
      </c>
      <c r="M14" s="1">
        <f>CEILING('мойки себестоимость'!M14*(1+'мойки для партнеров'!$S$2),100)</f>
        <v>10800</v>
      </c>
      <c r="N14" s="1">
        <f>CEILING('мойки себестоимость'!N14*(1+'мойки для партнеров'!$S$2),100)</f>
        <v>10800</v>
      </c>
      <c r="O14" s="1">
        <f>CEILING('мойки себестоимость'!O14*(1+'мойки для партнеров'!$S$2),100)</f>
        <v>10800</v>
      </c>
      <c r="P14" s="28">
        <v>0</v>
      </c>
    </row>
    <row r="15" spans="1:19" x14ac:dyDescent="0.25">
      <c r="A15" s="6" t="s">
        <v>14</v>
      </c>
      <c r="B15" s="1">
        <f>CEILING('мойки себестоимость'!B15*(1+'мойки для партнеров'!$S$2),100)</f>
        <v>10900</v>
      </c>
      <c r="C15" s="1">
        <f>CEILING('мойки себестоимость'!C15*(1+'мойки для партнеров'!$S$2),100)</f>
        <v>11000</v>
      </c>
      <c r="D15" s="1">
        <f>CEILING('мойки себестоимость'!D15*(1+'мойки для партнеров'!$S$2),100)</f>
        <v>11000</v>
      </c>
      <c r="E15" s="1">
        <f>CEILING('мойки себестоимость'!E15*(1+'мойки для партнеров'!$S$2),100)</f>
        <v>11000</v>
      </c>
      <c r="F15" s="1">
        <f>CEILING('мойки себестоимость'!F15*(1+'мойки для партнеров'!$S$2),100)</f>
        <v>11100</v>
      </c>
      <c r="G15" s="1">
        <f>CEILING('мойки себестоимость'!G15*(1+'мойки для партнеров'!$S$2),100)</f>
        <v>11000</v>
      </c>
      <c r="H15" s="1">
        <f>CEILING('мойки себестоимость'!H15*(1+'мойки для партнеров'!$S$2),100)</f>
        <v>22000</v>
      </c>
      <c r="I15" s="1">
        <f>CEILING('мойки себестоимость'!I15*(1+'мойки для партнеров'!$S$2),100)</f>
        <v>22000</v>
      </c>
      <c r="J15" s="1">
        <f>CEILING('мойки себестоимость'!J15*(1+'мойки для партнеров'!$S$2),100)</f>
        <v>22000</v>
      </c>
      <c r="K15" s="1">
        <f>CEILING('мойки себестоимость'!K15*(1+'мойки для партнеров'!$S$2),100)</f>
        <v>22000</v>
      </c>
      <c r="L15" s="1">
        <f>CEILING('мойки себестоимость'!L15*(1+'мойки для партнеров'!$S$2),100)</f>
        <v>22100</v>
      </c>
      <c r="M15" s="1">
        <f>CEILING('мойки себестоимость'!M15*(1+'мойки для партнеров'!$S$2),100)</f>
        <v>10900</v>
      </c>
      <c r="N15" s="1">
        <f>CEILING('мойки себестоимость'!N15*(1+'мойки для партнеров'!$S$2),100)</f>
        <v>10900</v>
      </c>
      <c r="O15" s="1">
        <f>CEILING('мойки себестоимость'!O15*(1+'мойки для партнеров'!$S$2),100)</f>
        <v>10900</v>
      </c>
      <c r="P15" s="28">
        <v>0</v>
      </c>
    </row>
    <row r="16" spans="1:19" x14ac:dyDescent="0.25">
      <c r="A16" s="6" t="s">
        <v>15</v>
      </c>
      <c r="B16" s="1">
        <f>CEILING('мойки себестоимость'!B16*(1+'мойки для партнеров'!$S$2),100)</f>
        <v>10900</v>
      </c>
      <c r="C16" s="1">
        <f>CEILING('мойки себестоимость'!C16*(1+'мойки для партнеров'!$S$2),100)</f>
        <v>11000</v>
      </c>
      <c r="D16" s="1">
        <f>CEILING('мойки себестоимость'!D16*(1+'мойки для партнеров'!$S$2),100)</f>
        <v>11000</v>
      </c>
      <c r="E16" s="1">
        <f>CEILING('мойки себестоимость'!E16*(1+'мойки для партнеров'!$S$2),100)</f>
        <v>11000</v>
      </c>
      <c r="F16" s="1">
        <f>CEILING('мойки себестоимость'!F16*(1+'мойки для партнеров'!$S$2),100)</f>
        <v>11100</v>
      </c>
      <c r="G16" s="1">
        <f>CEILING('мойки себестоимость'!G16*(1+'мойки для партнеров'!$S$2),100)</f>
        <v>11000</v>
      </c>
      <c r="H16" s="1">
        <f>CEILING('мойки себестоимость'!H16*(1+'мойки для партнеров'!$S$2),100)</f>
        <v>22000</v>
      </c>
      <c r="I16" s="1">
        <f>CEILING('мойки себестоимость'!I16*(1+'мойки для партнеров'!$S$2),100)</f>
        <v>22000</v>
      </c>
      <c r="J16" s="1">
        <f>CEILING('мойки себестоимость'!J16*(1+'мойки для партнеров'!$S$2),100)</f>
        <v>22000</v>
      </c>
      <c r="K16" s="1">
        <f>CEILING('мойки себестоимость'!K16*(1+'мойки для партнеров'!$S$2),100)</f>
        <v>22000</v>
      </c>
      <c r="L16" s="1">
        <f>CEILING('мойки себестоимость'!L16*(1+'мойки для партнеров'!$S$2),100)</f>
        <v>22100</v>
      </c>
      <c r="M16" s="1">
        <f>CEILING('мойки себестоимость'!M16*(1+'мойки для партнеров'!$S$2),100)</f>
        <v>10900</v>
      </c>
      <c r="N16" s="1">
        <f>CEILING('мойки себестоимость'!N16*(1+'мойки для партнеров'!$S$2),100)</f>
        <v>10900</v>
      </c>
      <c r="O16" s="1">
        <f>CEILING('мойки себестоимость'!O16*(1+'мойки для партнеров'!$S$2),100)</f>
        <v>10900</v>
      </c>
      <c r="P16" s="28">
        <v>0</v>
      </c>
    </row>
    <row r="17" spans="1:16" x14ac:dyDescent="0.25">
      <c r="A17" s="6" t="s">
        <v>197</v>
      </c>
      <c r="B17" s="1">
        <f>CEILING('мойки себестоимость'!B17*(1+'мойки для партнеров'!$S$2),100)</f>
        <v>11000</v>
      </c>
      <c r="C17" s="1">
        <f>CEILING('мойки себестоимость'!C17*(1+'мойки для партнеров'!$S$2),100)</f>
        <v>11000</v>
      </c>
      <c r="D17" s="1">
        <f>CEILING('мойки себестоимость'!D17*(1+'мойки для партнеров'!$S$2),100)</f>
        <v>11000</v>
      </c>
      <c r="E17" s="1">
        <f>CEILING('мойки себестоимость'!E17*(1+'мойки для партнеров'!$S$2),100)</f>
        <v>11100</v>
      </c>
      <c r="F17" s="1">
        <f>CEILING('мойки себестоимость'!F17*(1+'мойки для партнеров'!$S$2),100)</f>
        <v>11100</v>
      </c>
      <c r="G17" s="1">
        <f>CEILING('мойки себестоимость'!G17*(1+'мойки для партнеров'!$S$2),100)</f>
        <v>11100</v>
      </c>
      <c r="H17" s="1">
        <f>CEILING('мойки себестоимость'!H17*(1+'мойки для партнеров'!$S$2),100)</f>
        <v>22100</v>
      </c>
      <c r="I17" s="1">
        <f>CEILING('мойки себестоимость'!I17*(1+'мойки для партнеров'!$S$2),100)</f>
        <v>22100</v>
      </c>
      <c r="J17" s="1">
        <f>CEILING('мойки себестоимость'!J17*(1+'мойки для партнеров'!$S$2),100)</f>
        <v>22100</v>
      </c>
      <c r="K17" s="1">
        <f>CEILING('мойки себестоимость'!K17*(1+'мойки для партнеров'!$S$2),100)</f>
        <v>22000</v>
      </c>
      <c r="L17" s="1">
        <f>CEILING('мойки себестоимость'!L17*(1+'мойки для партнеров'!$S$2),100)</f>
        <v>22200</v>
      </c>
      <c r="M17" s="1">
        <f>CEILING('мойки себестоимость'!M17*(1+'мойки для партнеров'!$S$2),100)</f>
        <v>10900</v>
      </c>
      <c r="N17" s="1">
        <f>CEILING('мойки себестоимость'!N17*(1+'мойки для партнеров'!$S$2),100)</f>
        <v>10900</v>
      </c>
      <c r="O17" s="1">
        <f>CEILING('мойки себестоимость'!O17*(1+'мойки для партнеров'!$S$2),100)</f>
        <v>10900</v>
      </c>
      <c r="P17" s="28">
        <v>0</v>
      </c>
    </row>
    <row r="18" spans="1:16" x14ac:dyDescent="0.25">
      <c r="A18" s="6" t="s">
        <v>17</v>
      </c>
      <c r="B18" s="1">
        <f>CEILING('мойки себестоимость'!B18*(1+'мойки для партнеров'!$S$2),100)</f>
        <v>11000</v>
      </c>
      <c r="C18" s="1">
        <f>CEILING('мойки себестоимость'!C18*(1+'мойки для партнеров'!$S$2),100)</f>
        <v>11000</v>
      </c>
      <c r="D18" s="1">
        <f>CEILING('мойки себестоимость'!D18*(1+'мойки для партнеров'!$S$2),100)</f>
        <v>11100</v>
      </c>
      <c r="E18" s="1">
        <f>CEILING('мойки себестоимость'!E18*(1+'мойки для партнеров'!$S$2),100)</f>
        <v>11100</v>
      </c>
      <c r="F18" s="1">
        <f>CEILING('мойки себестоимость'!F18*(1+'мойки для партнеров'!$S$2),100)</f>
        <v>11200</v>
      </c>
      <c r="G18" s="1">
        <f>CEILING('мойки себестоимость'!G18*(1+'мойки для партнеров'!$S$2),100)</f>
        <v>11100</v>
      </c>
      <c r="H18" s="1">
        <f>CEILING('мойки себестоимость'!H18*(1+'мойки для партнеров'!$S$2),100)</f>
        <v>22100</v>
      </c>
      <c r="I18" s="1">
        <f>CEILING('мойки себестоимость'!I18*(1+'мойки для партнеров'!$S$2),100)</f>
        <v>22200</v>
      </c>
      <c r="J18" s="1">
        <f>CEILING('мойки себестоимость'!J18*(1+'мойки для партнеров'!$S$2),100)</f>
        <v>22200</v>
      </c>
      <c r="K18" s="1">
        <f>CEILING('мойки себестоимость'!K18*(1+'мойки для партнеров'!$S$2),100)</f>
        <v>22100</v>
      </c>
      <c r="L18" s="1">
        <f>CEILING('мойки себестоимость'!L18*(1+'мойки для партнеров'!$S$2),100)</f>
        <v>22300</v>
      </c>
      <c r="M18" s="1">
        <f>CEILING('мойки себестоимость'!M18*(1+'мойки для партнеров'!$S$2),100)</f>
        <v>10900</v>
      </c>
      <c r="N18" s="1">
        <f>CEILING('мойки себестоимость'!N18*(1+'мойки для партнеров'!$S$2),100)</f>
        <v>10900</v>
      </c>
      <c r="O18" s="1">
        <f>CEILING('мойки себестоимость'!O18*(1+'мойки для партнеров'!$S$2),100)</f>
        <v>10900</v>
      </c>
      <c r="P18" s="28">
        <v>0</v>
      </c>
    </row>
    <row r="19" spans="1:16" x14ac:dyDescent="0.25">
      <c r="A19" s="6" t="s">
        <v>18</v>
      </c>
      <c r="B19" s="1">
        <f>CEILING('мойки себестоимость'!B19*(1+'мойки для партнеров'!$S$2),100)</f>
        <v>11000</v>
      </c>
      <c r="C19" s="1">
        <f>CEILING('мойки себестоимость'!C19*(1+'мойки для партнеров'!$S$2),100)</f>
        <v>11000</v>
      </c>
      <c r="D19" s="1">
        <f>CEILING('мойки себестоимость'!D19*(1+'мойки для партнеров'!$S$2),100)</f>
        <v>11100</v>
      </c>
      <c r="E19" s="1">
        <f>CEILING('мойки себестоимость'!E19*(1+'мойки для партнеров'!$S$2),100)</f>
        <v>11100</v>
      </c>
      <c r="F19" s="1">
        <f>CEILING('мойки себестоимость'!F19*(1+'мойки для партнеров'!$S$2),100)</f>
        <v>11200</v>
      </c>
      <c r="G19" s="1">
        <f>CEILING('мойки себестоимость'!G19*(1+'мойки для партнеров'!$S$2),100)</f>
        <v>11100</v>
      </c>
      <c r="H19" s="1">
        <f>CEILING('мойки себестоимость'!H19*(1+'мойки для партнеров'!$S$2),100)</f>
        <v>22100</v>
      </c>
      <c r="I19" s="1">
        <f>CEILING('мойки себестоимость'!I19*(1+'мойки для партнеров'!$S$2),100)</f>
        <v>22200</v>
      </c>
      <c r="J19" s="1">
        <f>CEILING('мойки себестоимость'!J19*(1+'мойки для партнеров'!$S$2),100)</f>
        <v>22200</v>
      </c>
      <c r="K19" s="1">
        <f>CEILING('мойки себестоимость'!K19*(1+'мойки для партнеров'!$S$2),100)</f>
        <v>22100</v>
      </c>
      <c r="L19" s="1">
        <f>CEILING('мойки себестоимость'!L19*(1+'мойки для партнеров'!$S$2),100)</f>
        <v>22300</v>
      </c>
      <c r="M19" s="1">
        <f>CEILING('мойки себестоимость'!M19*(1+'мойки для партнеров'!$S$2),100)</f>
        <v>10900</v>
      </c>
      <c r="N19" s="1">
        <f>CEILING('мойки себестоимость'!N19*(1+'мойки для партнеров'!$S$2),100)</f>
        <v>10900</v>
      </c>
      <c r="O19" s="1">
        <f>CEILING('мойки себестоимость'!O19*(1+'мойки для партнеров'!$S$2),100)</f>
        <v>10900</v>
      </c>
      <c r="P19" s="28">
        <v>0</v>
      </c>
    </row>
    <row r="20" spans="1:16" x14ac:dyDescent="0.25">
      <c r="A20" s="170" t="s">
        <v>19</v>
      </c>
      <c r="B20" s="1">
        <f>CEILING('мойки себестоимость'!B20*(1+'мойки для партнеров'!$S$2),100)</f>
        <v>11200</v>
      </c>
      <c r="C20" s="1">
        <f>CEILING('мойки себестоимость'!C20*(1+'мойки для партнеров'!$S$2),100)</f>
        <v>11300</v>
      </c>
      <c r="D20" s="1">
        <f>CEILING('мойки себестоимость'!D20*(1+'мойки для партнеров'!$S$2),100)</f>
        <v>11400</v>
      </c>
      <c r="E20" s="1">
        <f>CEILING('мойки себестоимость'!E20*(1+'мойки для партнеров'!$S$2),100)</f>
        <v>11400</v>
      </c>
      <c r="F20" s="1">
        <f>CEILING('мойки себестоимость'!F20*(1+'мойки для партнеров'!$S$2),100)</f>
        <v>11500</v>
      </c>
      <c r="G20" s="1">
        <f>CEILING('мойки себестоимость'!G20*(1+'мойки для партнеров'!$S$2),100)</f>
        <v>11400</v>
      </c>
      <c r="H20" s="1">
        <f>CEILING('мойки себестоимость'!H20*(1+'мойки для партнеров'!$S$2),100)</f>
        <v>22800</v>
      </c>
      <c r="I20" s="1">
        <f>CEILING('мойки себестоимость'!I20*(1+'мойки для партнеров'!$S$2),100)</f>
        <v>22800</v>
      </c>
      <c r="J20" s="1">
        <f>CEILING('мойки себестоимость'!J20*(1+'мойки для партнеров'!$S$2),100)</f>
        <v>22800</v>
      </c>
      <c r="K20" s="1">
        <f>CEILING('мойки себестоимость'!K20*(1+'мойки для партнеров'!$S$2),100)</f>
        <v>22700</v>
      </c>
      <c r="L20" s="1">
        <f>CEILING('мойки себестоимость'!L20*(1+'мойки для партнеров'!$S$2),100)</f>
        <v>23000</v>
      </c>
      <c r="M20" s="1">
        <f>CEILING('мойки себестоимость'!M20*(1+'мойки для партнеров'!$S$2),100)</f>
        <v>11100</v>
      </c>
      <c r="N20" s="1">
        <f>CEILING('мойки себестоимость'!N20*(1+'мойки для партнеров'!$S$2),100)</f>
        <v>11100</v>
      </c>
      <c r="O20" s="1">
        <f>CEILING('мойки себестоимость'!O20*(1+'мойки для партнеров'!$S$2),100)</f>
        <v>11100</v>
      </c>
      <c r="P20" s="28">
        <v>0</v>
      </c>
    </row>
    <row r="21" spans="1:16" x14ac:dyDescent="0.25">
      <c r="A21" s="170" t="s">
        <v>20</v>
      </c>
      <c r="B21" s="1">
        <f>CEILING('мойки себестоимость'!B21*(1+'мойки для партнеров'!$S$2),100)</f>
        <v>11300</v>
      </c>
      <c r="C21" s="1">
        <f>CEILING('мойки себестоимость'!C21*(1+'мойки для партнеров'!$S$2),100)</f>
        <v>11400</v>
      </c>
      <c r="D21" s="1">
        <f>CEILING('мойки себестоимость'!D21*(1+'мойки для партнеров'!$S$2),100)</f>
        <v>11400</v>
      </c>
      <c r="E21" s="1">
        <f>CEILING('мойки себестоимость'!E21*(1+'мойки для партнеров'!$S$2),100)</f>
        <v>11500</v>
      </c>
      <c r="F21" s="1">
        <f>CEILING('мойки себестоимость'!F21*(1+'мойки для партнеров'!$S$2),100)</f>
        <v>11600</v>
      </c>
      <c r="G21" s="1">
        <f>CEILING('мойки себестоимость'!G21*(1+'мойки для партнеров'!$S$2),100)</f>
        <v>11500</v>
      </c>
      <c r="H21" s="1">
        <f>CEILING('мойки себестоимость'!H21*(1+'мойки для партнеров'!$S$2),100)</f>
        <v>22900</v>
      </c>
      <c r="I21" s="1">
        <f>CEILING('мойки себестоимость'!I21*(1+'мойки для партнеров'!$S$2),100)</f>
        <v>23000</v>
      </c>
      <c r="J21" s="1">
        <f>CEILING('мойки себестоимость'!J21*(1+'мойки для партнеров'!$S$2),100)</f>
        <v>23000</v>
      </c>
      <c r="K21" s="1">
        <f>CEILING('мойки себестоимость'!K21*(1+'мойки для партнеров'!$S$2),100)</f>
        <v>22800</v>
      </c>
      <c r="L21" s="1">
        <f>CEILING('мойки себестоимость'!L21*(1+'мойки для партнеров'!$S$2),100)</f>
        <v>23100</v>
      </c>
      <c r="M21" s="1">
        <f>CEILING('мойки себестоимость'!M21*(1+'мойки для партнеров'!$S$2),100)</f>
        <v>11200</v>
      </c>
      <c r="N21" s="1">
        <f>CEILING('мойки себестоимость'!N21*(1+'мойки для партнеров'!$S$2),100)</f>
        <v>11200</v>
      </c>
      <c r="O21" s="1">
        <f>CEILING('мойки себестоимость'!O21*(1+'мойки для партнеров'!$S$2),100)</f>
        <v>11200</v>
      </c>
      <c r="P21" s="28">
        <v>0</v>
      </c>
    </row>
    <row r="22" spans="1:16" x14ac:dyDescent="0.25">
      <c r="A22" s="170" t="s">
        <v>273</v>
      </c>
      <c r="B22" s="1">
        <f>CEILING('мойки себестоимость'!B22*(1+'мойки для партнеров'!$S$2),100)</f>
        <v>11300</v>
      </c>
      <c r="C22" s="1">
        <f>CEILING('мойки себестоимость'!C22*(1+'мойки для партнеров'!$S$2),100)</f>
        <v>11400</v>
      </c>
      <c r="D22" s="1">
        <f>CEILING('мойки себестоимость'!D22*(1+'мойки для партнеров'!$S$2),100)</f>
        <v>11400</v>
      </c>
      <c r="E22" s="1">
        <f>CEILING('мойки себестоимость'!E22*(1+'мойки для партнеров'!$S$2),100)</f>
        <v>11500</v>
      </c>
      <c r="F22" s="1">
        <f>CEILING('мойки себестоимость'!F22*(1+'мойки для партнеров'!$S$2),100)</f>
        <v>11600</v>
      </c>
      <c r="G22" s="1">
        <f>CEILING('мойки себестоимость'!G22*(1+'мойки для партнеров'!$S$2),100)</f>
        <v>11500</v>
      </c>
      <c r="H22" s="1">
        <f>CEILING('мойки себестоимость'!H22*(1+'мойки для партнеров'!$S$2),100)</f>
        <v>22900</v>
      </c>
      <c r="I22" s="1">
        <f>CEILING('мойки себестоимость'!I22*(1+'мойки для партнеров'!$S$2),100)</f>
        <v>23000</v>
      </c>
      <c r="J22" s="1">
        <f>CEILING('мойки себестоимость'!J22*(1+'мойки для партнеров'!$S$2),100)</f>
        <v>23000</v>
      </c>
      <c r="K22" s="1">
        <f>CEILING('мойки себестоимость'!K22*(1+'мойки для партнеров'!$S$2),100)</f>
        <v>22800</v>
      </c>
      <c r="L22" s="1">
        <f>CEILING('мойки себестоимость'!L22*(1+'мойки для партнеров'!$S$2),100)</f>
        <v>23100</v>
      </c>
      <c r="M22" s="1">
        <f>CEILING('мойки себестоимость'!M22*(1+'мойки для партнеров'!$S$2),100)</f>
        <v>11200</v>
      </c>
      <c r="N22" s="1">
        <f>CEILING('мойки себестоимость'!N22*(1+'мойки для партнеров'!$S$2),100)</f>
        <v>11200</v>
      </c>
      <c r="O22" s="1">
        <f>CEILING('мойки себестоимость'!O22*(1+'мойки для партнеров'!$S$2),100)</f>
        <v>11200</v>
      </c>
      <c r="P22" s="28">
        <v>0</v>
      </c>
    </row>
    <row r="23" spans="1:16" x14ac:dyDescent="0.25">
      <c r="A23" s="170" t="s">
        <v>21</v>
      </c>
      <c r="B23" s="1">
        <f>CEILING('мойки себестоимость'!B23*(1+'мойки для партнеров'!$S$2),100)</f>
        <v>11400</v>
      </c>
      <c r="C23" s="1">
        <f>CEILING('мойки себестоимость'!C23*(1+'мойки для партнеров'!$S$2),100)</f>
        <v>11400</v>
      </c>
      <c r="D23" s="1">
        <f>CEILING('мойки себестоимость'!D23*(1+'мойки для партнеров'!$S$2),100)</f>
        <v>11500</v>
      </c>
      <c r="E23" s="1">
        <f>CEILING('мойки себестоимость'!E23*(1+'мойки для партнеров'!$S$2),100)</f>
        <v>11600</v>
      </c>
      <c r="F23" s="1">
        <f>CEILING('мойки себестоимость'!F23*(1+'мойки для партнеров'!$S$2),100)</f>
        <v>11700</v>
      </c>
      <c r="G23" s="1">
        <f>CEILING('мойки себестоимость'!G23*(1+'мойки для партнеров'!$S$2),100)</f>
        <v>11600</v>
      </c>
      <c r="H23" s="1">
        <f>CEILING('мойки себестоимость'!H23*(1+'мойки для партнеров'!$S$2),100)</f>
        <v>23100</v>
      </c>
      <c r="I23" s="1">
        <f>CEILING('мойки себестоимость'!I23*(1+'мойки для партнеров'!$S$2),100)</f>
        <v>23200</v>
      </c>
      <c r="J23" s="1">
        <f>CEILING('мойки себестоимость'!J23*(1+'мойки для партнеров'!$S$2),100)</f>
        <v>23200</v>
      </c>
      <c r="K23" s="1">
        <f>CEILING('мойки себестоимость'!K23*(1+'мойки для партнеров'!$S$2),100)</f>
        <v>23000</v>
      </c>
      <c r="L23" s="1">
        <f>CEILING('мойки себестоимость'!L23*(1+'мойки для партнеров'!$S$2),100)</f>
        <v>23300</v>
      </c>
      <c r="M23" s="1">
        <f>CEILING('мойки себестоимость'!M23*(1+'мойки для партнеров'!$S$2),100)</f>
        <v>11200</v>
      </c>
      <c r="N23" s="1">
        <f>CEILING('мойки себестоимость'!N23*(1+'мойки для партнеров'!$S$2),100)</f>
        <v>11200</v>
      </c>
      <c r="O23" s="1">
        <f>CEILING('мойки себестоимость'!O23*(1+'мойки для партнеров'!$S$2),100)</f>
        <v>11200</v>
      </c>
      <c r="P23" s="28">
        <v>0</v>
      </c>
    </row>
    <row r="24" spans="1:16" x14ac:dyDescent="0.25">
      <c r="A24" s="170" t="s">
        <v>274</v>
      </c>
      <c r="B24" s="1">
        <f>CEILING('мойки себестоимость'!B24*(1+'мойки для партнеров'!$S$2),100)</f>
        <v>11400</v>
      </c>
      <c r="C24" s="1">
        <f>CEILING('мойки себестоимость'!C24*(1+'мойки для партнеров'!$S$2),100)</f>
        <v>11500</v>
      </c>
      <c r="D24" s="1">
        <f>CEILING('мойки себестоимость'!D24*(1+'мойки для партнеров'!$S$2),100)</f>
        <v>11500</v>
      </c>
      <c r="E24" s="1">
        <f>CEILING('мойки себестоимость'!E24*(1+'мойки для партнеров'!$S$2),100)</f>
        <v>11600</v>
      </c>
      <c r="F24" s="1">
        <f>CEILING('мойки себестоимость'!F24*(1+'мойки для партнеров'!$S$2),100)</f>
        <v>11700</v>
      </c>
      <c r="G24" s="1">
        <f>CEILING('мойки себестоимость'!G24*(1+'мойки для партнеров'!$S$2),100)</f>
        <v>11600</v>
      </c>
      <c r="H24" s="1">
        <f>CEILING('мойки себестоимость'!H24*(1+'мойки для партнеров'!$S$2),100)</f>
        <v>23100</v>
      </c>
      <c r="I24" s="1">
        <f>CEILING('мойки себестоимость'!I24*(1+'мойки для партнеров'!$S$2),100)</f>
        <v>23200</v>
      </c>
      <c r="J24" s="1">
        <f>CEILING('мойки себестоимость'!J24*(1+'мойки для партнеров'!$S$2),100)</f>
        <v>23200</v>
      </c>
      <c r="K24" s="1">
        <f>CEILING('мойки себестоимость'!K24*(1+'мойки для партнеров'!$S$2),100)</f>
        <v>23000</v>
      </c>
      <c r="L24" s="1">
        <f>CEILING('мойки себестоимость'!L24*(1+'мойки для партнеров'!$S$2),100)</f>
        <v>23400</v>
      </c>
      <c r="M24" s="1">
        <f>CEILING('мойки себестоимость'!M24*(1+'мойки для партнеров'!$S$2),100)</f>
        <v>11200</v>
      </c>
      <c r="N24" s="1">
        <f>CEILING('мойки себестоимость'!N24*(1+'мойки для партнеров'!$S$2),100)</f>
        <v>11200</v>
      </c>
      <c r="O24" s="1">
        <f>CEILING('мойки себестоимость'!O24*(1+'мойки для партнеров'!$S$2),100)</f>
        <v>11200</v>
      </c>
      <c r="P24" s="28">
        <v>0</v>
      </c>
    </row>
    <row r="25" spans="1:16" x14ac:dyDescent="0.25">
      <c r="A25" s="6" t="s">
        <v>67</v>
      </c>
      <c r="B25" s="1">
        <f>CEILING('мойки себестоимость'!B25*(1+'мойки для партнеров'!$S$2),100)</f>
        <v>11000</v>
      </c>
      <c r="C25" s="1">
        <f>CEILING('мойки себестоимость'!C25*(1+'мойки для партнеров'!$S$2),100)</f>
        <v>11000</v>
      </c>
      <c r="D25" s="1">
        <f>CEILING('мойки себестоимость'!D25*(1+'мойки для партнеров'!$S$2),100)</f>
        <v>11000</v>
      </c>
      <c r="E25" s="1">
        <f>CEILING('мойки себестоимость'!E25*(1+'мойки для партнеров'!$S$2),100)</f>
        <v>11100</v>
      </c>
      <c r="F25" s="1">
        <f>CEILING('мойки себестоимость'!F25*(1+'мойки для партнеров'!$S$2),100)</f>
        <v>11100</v>
      </c>
      <c r="G25" s="1">
        <f>CEILING('мойки себестоимость'!G25*(1+'мойки для партнеров'!$S$2),100)</f>
        <v>11100</v>
      </c>
      <c r="H25" s="1">
        <f>CEILING('мойки себестоимость'!H25*(1+'мойки для партнеров'!$S$2),100)</f>
        <v>22100</v>
      </c>
      <c r="I25" s="1">
        <f>CEILING('мойки себестоимость'!I25*(1+'мойки для партнеров'!$S$2),100)</f>
        <v>22100</v>
      </c>
      <c r="J25" s="1">
        <f>CEILING('мойки себестоимость'!J25*(1+'мойки для партнеров'!$S$2),100)</f>
        <v>22100</v>
      </c>
      <c r="K25" s="1">
        <f>CEILING('мойки себестоимость'!K25*(1+'мойки для партнеров'!$S$2),100)</f>
        <v>22000</v>
      </c>
      <c r="L25" s="1">
        <f>CEILING('мойки себестоимость'!L25*(1+'мойки для партнеров'!$S$2),100)</f>
        <v>22200</v>
      </c>
      <c r="M25" s="1">
        <f>CEILING('мойки себестоимость'!M25*(1+'мойки для партнеров'!$S$2),100)</f>
        <v>10900</v>
      </c>
      <c r="N25" s="1">
        <f>CEILING('мойки себестоимость'!N25*(1+'мойки для партнеров'!$S$2),100)</f>
        <v>10900</v>
      </c>
      <c r="O25" s="1">
        <f>CEILING('мойки себестоимость'!O25*(1+'мойки для партнеров'!$S$2),100)</f>
        <v>10900</v>
      </c>
      <c r="P25" s="28">
        <v>0</v>
      </c>
    </row>
    <row r="26" spans="1:16" x14ac:dyDescent="0.25">
      <c r="A26" s="6" t="s">
        <v>68</v>
      </c>
      <c r="B26" s="1">
        <f>CEILING('мойки себестоимость'!B26*(1+'мойки для партнеров'!$S$2),100)</f>
        <v>11000</v>
      </c>
      <c r="C26" s="1">
        <f>CEILING('мойки себестоимость'!C26*(1+'мойки для партнеров'!$S$2),100)</f>
        <v>11100</v>
      </c>
      <c r="D26" s="1">
        <f>CEILING('мойки себестоимость'!D26*(1+'мойки для партнеров'!$S$2),100)</f>
        <v>11100</v>
      </c>
      <c r="E26" s="1">
        <f>CEILING('мойки себестоимость'!E26*(1+'мойки для партнеров'!$S$2),100)</f>
        <v>11200</v>
      </c>
      <c r="F26" s="1">
        <f>CEILING('мойки себестоимость'!F26*(1+'мойки для партнеров'!$S$2),100)</f>
        <v>11200</v>
      </c>
      <c r="G26" s="1">
        <f>CEILING('мойки себестоимость'!G26*(1+'мойки для партнеров'!$S$2),100)</f>
        <v>11200</v>
      </c>
      <c r="H26" s="1">
        <f>CEILING('мойки себестоимость'!H26*(1+'мойки для партнеров'!$S$2),100)</f>
        <v>22200</v>
      </c>
      <c r="I26" s="1">
        <f>CEILING('мойки себестоимость'!I26*(1+'мойки для партнеров'!$S$2),100)</f>
        <v>22300</v>
      </c>
      <c r="J26" s="1">
        <f>CEILING('мойки себестоимость'!J26*(1+'мойки для партнеров'!$S$2),100)</f>
        <v>22300</v>
      </c>
      <c r="K26" s="1">
        <f>CEILING('мойки себестоимость'!K26*(1+'мойки для партнеров'!$S$2),100)</f>
        <v>22200</v>
      </c>
      <c r="L26" s="1">
        <f>CEILING('мойки себестоимость'!L26*(1+'мойки для партнеров'!$S$2),100)</f>
        <v>22400</v>
      </c>
      <c r="M26" s="1">
        <f>CEILING('мойки себестоимость'!M26*(1+'мойки для партнеров'!$S$2),100)</f>
        <v>10900</v>
      </c>
      <c r="N26" s="1">
        <f>CEILING('мойки себестоимость'!N26*(1+'мойки для партнеров'!$S$2),100)</f>
        <v>10900</v>
      </c>
      <c r="O26" s="1">
        <f>CEILING('мойки себестоимость'!O26*(1+'мойки для партнеров'!$S$2),100)</f>
        <v>10900</v>
      </c>
      <c r="P26" s="28">
        <v>0</v>
      </c>
    </row>
    <row r="27" spans="1:16" x14ac:dyDescent="0.25">
      <c r="A27" s="170" t="s">
        <v>69</v>
      </c>
      <c r="B27" s="1">
        <f>CEILING('мойки себестоимость'!B27*(1+'мойки для партнеров'!$S$2),100)</f>
        <v>11400</v>
      </c>
      <c r="C27" s="1">
        <f>CEILING('мойки себестоимость'!C27*(1+'мойки для партнеров'!$S$2),100)</f>
        <v>11400</v>
      </c>
      <c r="D27" s="1">
        <f>CEILING('мойки себестоимость'!D27*(1+'мойки для партнеров'!$S$2),100)</f>
        <v>11500</v>
      </c>
      <c r="E27" s="1">
        <f>CEILING('мойки себестоимость'!E27*(1+'мойки для партнеров'!$S$2),100)</f>
        <v>11600</v>
      </c>
      <c r="F27" s="1">
        <f>CEILING('мойки себестоимость'!F27*(1+'мойки для партнеров'!$S$2),100)</f>
        <v>11700</v>
      </c>
      <c r="G27" s="1">
        <f>CEILING('мойки себестоимость'!G27*(1+'мойки для партнеров'!$S$2),100)</f>
        <v>11600</v>
      </c>
      <c r="H27" s="1">
        <f>CEILING('мойки себестоимость'!H27*(1+'мойки для партнеров'!$S$2),100)</f>
        <v>23100</v>
      </c>
      <c r="I27" s="1">
        <f>CEILING('мойки себестоимость'!I27*(1+'мойки для партнеров'!$S$2),100)</f>
        <v>23200</v>
      </c>
      <c r="J27" s="1">
        <f>CEILING('мойки себестоимость'!J27*(1+'мойки для партнеров'!$S$2),100)</f>
        <v>23200</v>
      </c>
      <c r="K27" s="1">
        <f>CEILING('мойки себестоимость'!K27*(1+'мойки для партнеров'!$S$2),100)</f>
        <v>23000</v>
      </c>
      <c r="L27" s="1">
        <f>CEILING('мойки себестоимость'!L27*(1+'мойки для партнеров'!$S$2),100)</f>
        <v>23300</v>
      </c>
      <c r="M27" s="1">
        <f>CEILING('мойки себестоимость'!M27*(1+'мойки для партнеров'!$S$2),100)</f>
        <v>11200</v>
      </c>
      <c r="N27" s="1">
        <f>CEILING('мойки себестоимость'!N27*(1+'мойки для партнеров'!$S$2),100)</f>
        <v>11200</v>
      </c>
      <c r="O27" s="1">
        <f>CEILING('мойки себестоимость'!O27*(1+'мойки для партнеров'!$S$2),100)</f>
        <v>11200</v>
      </c>
      <c r="P27" s="28">
        <v>0</v>
      </c>
    </row>
    <row r="28" spans="1:16" x14ac:dyDescent="0.25">
      <c r="A28" s="6" t="s">
        <v>70</v>
      </c>
      <c r="B28" s="1">
        <f>CEILING('мойки себестоимость'!B28*(1+'мойки для партнеров'!$S$2),100)</f>
        <v>11000</v>
      </c>
      <c r="C28" s="1">
        <f>CEILING('мойки себестоимость'!C28*(1+'мойки для партнеров'!$S$2),100)</f>
        <v>11000</v>
      </c>
      <c r="D28" s="1">
        <f>CEILING('мойки себестоимость'!D28*(1+'мойки для партнеров'!$S$2),100)</f>
        <v>11000</v>
      </c>
      <c r="E28" s="1">
        <f>CEILING('мойки себестоимость'!E28*(1+'мойки для партнеров'!$S$2),100)</f>
        <v>11100</v>
      </c>
      <c r="F28" s="1">
        <f>CEILING('мойки себестоимость'!F28*(1+'мойки для партнеров'!$S$2),100)</f>
        <v>11100</v>
      </c>
      <c r="G28" s="1">
        <f>CEILING('мойки себестоимость'!G28*(1+'мойки для партнеров'!$S$2),100)</f>
        <v>11100</v>
      </c>
      <c r="H28" s="1">
        <f>CEILING('мойки себестоимость'!H28*(1+'мойки для партнеров'!$S$2),100)</f>
        <v>22100</v>
      </c>
      <c r="I28" s="1">
        <f>CEILING('мойки себестоимость'!I28*(1+'мойки для партнеров'!$S$2),100)</f>
        <v>22100</v>
      </c>
      <c r="J28" s="1">
        <f>CEILING('мойки себестоимость'!J28*(1+'мойки для партнеров'!$S$2),100)</f>
        <v>22100</v>
      </c>
      <c r="K28" s="1">
        <f>CEILING('мойки себестоимость'!K28*(1+'мойки для партнеров'!$S$2),100)</f>
        <v>22000</v>
      </c>
      <c r="L28" s="1">
        <f>CEILING('мойки себестоимость'!L28*(1+'мойки для партнеров'!$S$2),100)</f>
        <v>22200</v>
      </c>
      <c r="M28" s="1">
        <f>CEILING('мойки себестоимость'!M28*(1+'мойки для партнеров'!$S$2),100)</f>
        <v>10900</v>
      </c>
      <c r="N28" s="1">
        <f>CEILING('мойки себестоимость'!N28*(1+'мойки для партнеров'!$S$2),100)</f>
        <v>10900</v>
      </c>
      <c r="O28" s="1">
        <f>CEILING('мойки себестоимость'!O28*(1+'мойки для партнеров'!$S$2),100)</f>
        <v>10900</v>
      </c>
      <c r="P28" s="28">
        <v>0</v>
      </c>
    </row>
    <row r="29" spans="1:16" x14ac:dyDescent="0.25">
      <c r="A29" s="36" t="s">
        <v>198</v>
      </c>
      <c r="B29" s="1">
        <f>CEILING('мойки себестоимость'!B29*(1+'мойки для партнеров'!$S$2),100)</f>
        <v>11000</v>
      </c>
      <c r="C29" s="1">
        <f>CEILING('мойки себестоимость'!C29*(1+'мойки для партнеров'!$S$2),100)</f>
        <v>11100</v>
      </c>
      <c r="D29" s="1">
        <f>CEILING('мойки себестоимость'!D29*(1+'мойки для партнеров'!$S$2),100)</f>
        <v>11100</v>
      </c>
      <c r="E29" s="1">
        <f>CEILING('мойки себестоимость'!E29*(1+'мойки для партнеров'!$S$2),100)</f>
        <v>11200</v>
      </c>
      <c r="F29" s="1">
        <f>CEILING('мойки себестоимость'!F29*(1+'мойки для партнеров'!$S$2),100)</f>
        <v>11200</v>
      </c>
      <c r="G29" s="1">
        <f>CEILING('мойки себестоимость'!G29*(1+'мойки для партнеров'!$S$2),100)</f>
        <v>11200</v>
      </c>
      <c r="H29" s="1">
        <f>CEILING('мойки себестоимость'!H29*(1+'мойки для партнеров'!$S$2),100)</f>
        <v>22200</v>
      </c>
      <c r="I29" s="1">
        <f>CEILING('мойки себестоимость'!I29*(1+'мойки для партнеров'!$S$2),100)</f>
        <v>22300</v>
      </c>
      <c r="J29" s="1">
        <f>CEILING('мойки себестоимость'!J29*(1+'мойки для партнеров'!$S$2),100)</f>
        <v>22300</v>
      </c>
      <c r="K29" s="1">
        <f>CEILING('мойки себестоимость'!K29*(1+'мойки для партнеров'!$S$2),100)</f>
        <v>22200</v>
      </c>
      <c r="L29" s="1">
        <f>CEILING('мойки себестоимость'!L29*(1+'мойки для партнеров'!$S$2),100)</f>
        <v>22300</v>
      </c>
      <c r="M29" s="1">
        <f>CEILING('мойки себестоимость'!M29*(1+'мойки для партнеров'!$S$2),100)</f>
        <v>10900</v>
      </c>
      <c r="N29" s="1">
        <f>CEILING('мойки себестоимость'!N29*(1+'мойки для партнеров'!$S$2),100)</f>
        <v>10900</v>
      </c>
      <c r="O29" s="1">
        <f>CEILING('мойки себестоимость'!O29*(1+'мойки для партнеров'!$S$2),100)</f>
        <v>10900</v>
      </c>
      <c r="P29" s="28">
        <v>0</v>
      </c>
    </row>
    <row r="30" spans="1:16" x14ac:dyDescent="0.25">
      <c r="A30" s="36" t="s">
        <v>199</v>
      </c>
      <c r="B30" s="1">
        <f>CEILING('мойки себестоимость'!B30*(1+'мойки для партнеров'!$S$2),100)</f>
        <v>11100</v>
      </c>
      <c r="C30" s="1">
        <f>CEILING('мойки себестоимость'!C30*(1+'мойки для партнеров'!$S$2),100)</f>
        <v>11100</v>
      </c>
      <c r="D30" s="1">
        <f>CEILING('мойки себестоимость'!D30*(1+'мойки для партнеров'!$S$2),100)</f>
        <v>11200</v>
      </c>
      <c r="E30" s="1">
        <f>CEILING('мойки себестоимость'!E30*(1+'мойки для партнеров'!$S$2),100)</f>
        <v>11200</v>
      </c>
      <c r="F30" s="1">
        <f>CEILING('мойки себестоимость'!F30*(1+'мойки для партнеров'!$S$2),100)</f>
        <v>11300</v>
      </c>
      <c r="G30" s="1">
        <f>CEILING('мойки себестоимость'!G30*(1+'мойки для партнеров'!$S$2),100)</f>
        <v>11200</v>
      </c>
      <c r="H30" s="1">
        <f>CEILING('мойки себестоимость'!H30*(1+'мойки для партнеров'!$S$2),100)</f>
        <v>22300</v>
      </c>
      <c r="I30" s="1">
        <f>CEILING('мойки себестоимость'!I30*(1+'мойки для партнеров'!$S$2),100)</f>
        <v>22400</v>
      </c>
      <c r="J30" s="1">
        <f>CEILING('мойки себестоимость'!J30*(1+'мойки для партнеров'!$S$2),100)</f>
        <v>22400</v>
      </c>
      <c r="K30" s="1">
        <f>CEILING('мойки себестоимость'!K30*(1+'мойки для партнеров'!$S$2),100)</f>
        <v>22300</v>
      </c>
      <c r="L30" s="1">
        <f>CEILING('мойки себестоимость'!L30*(1+'мойки для партнеров'!$S$2),100)</f>
        <v>22500</v>
      </c>
      <c r="M30" s="1">
        <f>CEILING('мойки себестоимость'!M30*(1+'мойки для партнеров'!$S$2),100)</f>
        <v>11000</v>
      </c>
      <c r="N30" s="1">
        <f>CEILING('мойки себестоимость'!N30*(1+'мойки для партнеров'!$S$2),100)</f>
        <v>11000</v>
      </c>
      <c r="O30" s="1">
        <f>CEILING('мойки себестоимость'!O30*(1+'мойки для партнеров'!$S$2),100)</f>
        <v>11000</v>
      </c>
      <c r="P30" s="28">
        <v>0</v>
      </c>
    </row>
    <row r="31" spans="1:16" x14ac:dyDescent="0.25">
      <c r="A31" s="10" t="s">
        <v>30</v>
      </c>
      <c r="B31" s="1">
        <f>CEILING('мойки себестоимость'!B31*(1+'мойки для партнеров'!$S$2),100)</f>
        <v>11200</v>
      </c>
      <c r="C31" s="1">
        <f>CEILING('мойки себестоимость'!C31*(1+'мойки для партнеров'!$S$2),100)</f>
        <v>11300</v>
      </c>
      <c r="D31" s="1">
        <f>CEILING('мойки себестоимость'!D31*(1+'мойки для партнеров'!$S$2),100)</f>
        <v>11300</v>
      </c>
      <c r="E31" s="1">
        <f>CEILING('мойки себестоимость'!E31*(1+'мойки для партнеров'!$S$2),100)</f>
        <v>11400</v>
      </c>
      <c r="F31" s="1">
        <f>CEILING('мойки себестоимость'!F31*(1+'мойки для партнеров'!$S$2),100)</f>
        <v>11500</v>
      </c>
      <c r="G31" s="1">
        <f>CEILING('мойки себестоимость'!G31*(1+'мойки для партнеров'!$S$2),100)</f>
        <v>11400</v>
      </c>
      <c r="H31" s="1">
        <f>CEILING('мойки себестоимость'!H31*(1+'мойки для партнеров'!$S$2),100)</f>
        <v>22700</v>
      </c>
      <c r="I31" s="1">
        <f>CEILING('мойки себестоимость'!I31*(1+'мойки для партнеров'!$S$2),100)</f>
        <v>22700</v>
      </c>
      <c r="J31" s="1">
        <f>CEILING('мойки себестоимость'!J31*(1+'мойки для партнеров'!$S$2),100)</f>
        <v>22700</v>
      </c>
      <c r="K31" s="1">
        <f>CEILING('мойки себестоимость'!K31*(1+'мойки для партнеров'!$S$2),100)</f>
        <v>22600</v>
      </c>
      <c r="L31" s="1">
        <f>CEILING('мойки себестоимость'!L31*(1+'мойки для партнеров'!$S$2),100)</f>
        <v>22900</v>
      </c>
      <c r="M31" s="1">
        <f>CEILING('мойки себестоимость'!M31*(1+'мойки для партнеров'!$S$2),100)</f>
        <v>11100</v>
      </c>
      <c r="N31" s="1">
        <f>CEILING('мойки себестоимость'!N31*(1+'мойки для партнеров'!$S$2),100)</f>
        <v>11100</v>
      </c>
      <c r="O31" s="1">
        <f>CEILING('мойки себестоимость'!O31*(1+'мойки для партнеров'!$S$2),100)</f>
        <v>11100</v>
      </c>
      <c r="P31" s="28">
        <v>0</v>
      </c>
    </row>
    <row r="32" spans="1:16" x14ac:dyDescent="0.25">
      <c r="A32" s="10" t="s">
        <v>31</v>
      </c>
      <c r="B32" s="1">
        <f>CEILING('мойки себестоимость'!B32*(1+'мойки для партнеров'!$S$2),100)</f>
        <v>11200</v>
      </c>
      <c r="C32" s="1">
        <f>CEILING('мойки себестоимость'!C32*(1+'мойки для партнеров'!$S$2),100)</f>
        <v>11300</v>
      </c>
      <c r="D32" s="1">
        <f>CEILING('мойки себестоимость'!D32*(1+'мойки для партнеров'!$S$2),100)</f>
        <v>11300</v>
      </c>
      <c r="E32" s="1">
        <f>CEILING('мойки себестоимость'!E32*(1+'мойки для партнеров'!$S$2),100)</f>
        <v>11400</v>
      </c>
      <c r="F32" s="1">
        <f>CEILING('мойки себестоимость'!F32*(1+'мойки для партнеров'!$S$2),100)</f>
        <v>11500</v>
      </c>
      <c r="G32" s="1">
        <f>CEILING('мойки себестоимость'!G32*(1+'мойки для партнеров'!$S$2),100)</f>
        <v>11400</v>
      </c>
      <c r="H32" s="1">
        <f>CEILING('мойки себестоимость'!H32*(1+'мойки для партнеров'!$S$2),100)</f>
        <v>22700</v>
      </c>
      <c r="I32" s="1">
        <f>CEILING('мойки себестоимость'!I32*(1+'мойки для партнеров'!$S$2),100)</f>
        <v>22700</v>
      </c>
      <c r="J32" s="1">
        <f>CEILING('мойки себестоимость'!J32*(1+'мойки для партнеров'!$S$2),100)</f>
        <v>22700</v>
      </c>
      <c r="K32" s="1">
        <f>CEILING('мойки себестоимость'!K32*(1+'мойки для партнеров'!$S$2),100)</f>
        <v>22600</v>
      </c>
      <c r="L32" s="1">
        <f>CEILING('мойки себестоимость'!L32*(1+'мойки для партнеров'!$S$2),100)</f>
        <v>22900</v>
      </c>
      <c r="M32" s="1">
        <f>CEILING('мойки себестоимость'!M32*(1+'мойки для партнеров'!$S$2),100)</f>
        <v>11100</v>
      </c>
      <c r="N32" s="1">
        <f>CEILING('мойки себестоимость'!N32*(1+'мойки для партнеров'!$S$2),100)</f>
        <v>11100</v>
      </c>
      <c r="O32" s="1">
        <f>CEILING('мойки себестоимость'!O32*(1+'мойки для партнеров'!$S$2),100)</f>
        <v>11100</v>
      </c>
      <c r="P32" s="28">
        <v>0</v>
      </c>
    </row>
    <row r="33" spans="1:16" x14ac:dyDescent="0.25">
      <c r="A33" s="170" t="s">
        <v>132</v>
      </c>
      <c r="B33" s="1">
        <f>CEILING('мойки себестоимость'!B33*(1+'мойки для партнеров'!$S$2),100)</f>
        <v>11300</v>
      </c>
      <c r="C33" s="1">
        <f>CEILING('мойки себестоимость'!C33*(1+'мойки для партнеров'!$S$2),100)</f>
        <v>11400</v>
      </c>
      <c r="D33" s="1">
        <f>CEILING('мойки себестоимость'!D33*(1+'мойки для партнеров'!$S$2),100)</f>
        <v>11400</v>
      </c>
      <c r="E33" s="1">
        <f>CEILING('мойки себестоимость'!E33*(1+'мойки для партнеров'!$S$2),100)</f>
        <v>11500</v>
      </c>
      <c r="F33" s="1">
        <f>CEILING('мойки себестоимость'!F33*(1+'мойки для партнеров'!$S$2),100)</f>
        <v>11600</v>
      </c>
      <c r="G33" s="1">
        <f>CEILING('мойки себестоимость'!G33*(1+'мойки для партнеров'!$S$2),100)</f>
        <v>11500</v>
      </c>
      <c r="H33" s="1">
        <f>CEILING('мойки себестоимость'!H33*(1+'мойки для партнеров'!$S$2),100)</f>
        <v>22900</v>
      </c>
      <c r="I33" s="1">
        <f>CEILING('мойки себестоимость'!I33*(1+'мойки для партнеров'!$S$2),100)</f>
        <v>23000</v>
      </c>
      <c r="J33" s="1">
        <f>CEILING('мойки себестоимость'!J33*(1+'мойки для партнеров'!$S$2),100)</f>
        <v>23000</v>
      </c>
      <c r="K33" s="1">
        <f>CEILING('мойки себестоимость'!K33*(1+'мойки для партнеров'!$S$2),100)</f>
        <v>22800</v>
      </c>
      <c r="L33" s="1">
        <f>CEILING('мойки себестоимость'!L33*(1+'мойки для партнеров'!$S$2),100)</f>
        <v>23100</v>
      </c>
      <c r="M33" s="1">
        <f>CEILING('мойки себестоимость'!M33*(1+'мойки для партнеров'!$S$2),100)</f>
        <v>11200</v>
      </c>
      <c r="N33" s="1">
        <f>CEILING('мойки себестоимость'!N33*(1+'мойки для партнеров'!$S$2),100)</f>
        <v>11200</v>
      </c>
      <c r="O33" s="1">
        <f>CEILING('мойки себестоимость'!O33*(1+'мойки для партнеров'!$S$2),100)</f>
        <v>11200</v>
      </c>
      <c r="P33" s="28">
        <v>0</v>
      </c>
    </row>
    <row r="34" spans="1:16" x14ac:dyDescent="0.25">
      <c r="A34" s="170" t="s">
        <v>275</v>
      </c>
      <c r="B34" s="1">
        <f>CEILING('мойки себестоимость'!B34*(1+'мойки для партнеров'!$S$2),100)</f>
        <v>11300</v>
      </c>
      <c r="C34" s="1">
        <f>CEILING('мойки себестоимость'!C34*(1+'мойки для партнеров'!$S$2),100)</f>
        <v>11400</v>
      </c>
      <c r="D34" s="1">
        <f>CEILING('мойки себестоимость'!D34*(1+'мойки для партнеров'!$S$2),100)</f>
        <v>11400</v>
      </c>
      <c r="E34" s="1">
        <f>CEILING('мойки себестоимость'!E34*(1+'мойки для партнеров'!$S$2),100)</f>
        <v>11500</v>
      </c>
      <c r="F34" s="1">
        <f>CEILING('мойки себестоимость'!F34*(1+'мойки для партнеров'!$S$2),100)</f>
        <v>11600</v>
      </c>
      <c r="G34" s="1">
        <f>CEILING('мойки себестоимость'!G34*(1+'мойки для партнеров'!$S$2),100)</f>
        <v>11500</v>
      </c>
      <c r="H34" s="1">
        <f>CEILING('мойки себестоимость'!H34*(1+'мойки для партнеров'!$S$2),100)</f>
        <v>22900</v>
      </c>
      <c r="I34" s="1">
        <f>CEILING('мойки себестоимость'!I34*(1+'мойки для партнеров'!$S$2),100)</f>
        <v>23000</v>
      </c>
      <c r="J34" s="1">
        <f>CEILING('мойки себестоимость'!J34*(1+'мойки для партнеров'!$S$2),100)</f>
        <v>23000</v>
      </c>
      <c r="K34" s="1">
        <f>CEILING('мойки себестоимость'!K34*(1+'мойки для партнеров'!$S$2),100)</f>
        <v>22800</v>
      </c>
      <c r="L34" s="1">
        <f>CEILING('мойки себестоимость'!L34*(1+'мойки для партнеров'!$S$2),100)</f>
        <v>23100</v>
      </c>
      <c r="M34" s="1">
        <f>CEILING('мойки себестоимость'!M34*(1+'мойки для партнеров'!$S$2),100)</f>
        <v>11200</v>
      </c>
      <c r="N34" s="1">
        <f>CEILING('мойки себестоимость'!N34*(1+'мойки для партнеров'!$S$2),100)</f>
        <v>11200</v>
      </c>
      <c r="O34" s="1">
        <f>CEILING('мойки себестоимость'!O34*(1+'мойки для партнеров'!$S$2),100)</f>
        <v>11200</v>
      </c>
      <c r="P34" s="28">
        <v>0</v>
      </c>
    </row>
    <row r="35" spans="1:16" x14ac:dyDescent="0.25">
      <c r="A35" s="6" t="s">
        <v>26</v>
      </c>
      <c r="B35" s="1">
        <f>CEILING('мойки себестоимость'!B35*(1+'мойки для партнеров'!$S$2),100)</f>
        <v>11000</v>
      </c>
      <c r="C35" s="1">
        <f>CEILING('мойки себестоимость'!C35*(1+'мойки для партнеров'!$S$2),100)</f>
        <v>11000</v>
      </c>
      <c r="D35" s="1">
        <f>CEILING('мойки себестоимость'!D35*(1+'мойки для партнеров'!$S$2),100)</f>
        <v>11100</v>
      </c>
      <c r="E35" s="1">
        <f>CEILING('мойки себестоимость'!E35*(1+'мойки для партнеров'!$S$2),100)</f>
        <v>11100</v>
      </c>
      <c r="F35" s="1">
        <f>CEILING('мойки себестоимость'!F35*(1+'мойки для партнеров'!$S$2),100)</f>
        <v>11200</v>
      </c>
      <c r="G35" s="1">
        <f>CEILING('мойки себестоимость'!G35*(1+'мойки для партнеров'!$S$2),100)</f>
        <v>11100</v>
      </c>
      <c r="H35" s="1">
        <f>CEILING('мойки себестоимость'!H35*(1+'мойки для партнеров'!$S$2),100)</f>
        <v>22200</v>
      </c>
      <c r="I35" s="1">
        <f>CEILING('мойки себестоимость'!I35*(1+'мойки для партнеров'!$S$2),100)</f>
        <v>22200</v>
      </c>
      <c r="J35" s="1">
        <f>CEILING('мойки себестоимость'!J35*(1+'мойки для партнеров'!$S$2),100)</f>
        <v>22200</v>
      </c>
      <c r="K35" s="1">
        <f>CEILING('мойки себестоимость'!K35*(1+'мойки для партнеров'!$S$2),100)</f>
        <v>22100</v>
      </c>
      <c r="L35" s="1">
        <f>CEILING('мойки себестоимость'!L35*(1+'мойки для партнеров'!$S$2),100)</f>
        <v>22300</v>
      </c>
      <c r="M35" s="1">
        <f>CEILING('мойки себестоимость'!M35*(1+'мойки для партнеров'!$S$2),100)</f>
        <v>10900</v>
      </c>
      <c r="N35" s="1">
        <f>CEILING('мойки себестоимость'!N35*(1+'мойки для партнеров'!$S$2),100)</f>
        <v>10900</v>
      </c>
      <c r="O35" s="1">
        <f>CEILING('мойки себестоимость'!O35*(1+'мойки для партнеров'!$S$2),100)</f>
        <v>10900</v>
      </c>
      <c r="P35" s="28">
        <v>0</v>
      </c>
    </row>
    <row r="36" spans="1:16" x14ac:dyDescent="0.25">
      <c r="A36" s="6" t="s">
        <v>27</v>
      </c>
      <c r="B36" s="1">
        <f>CEILING('мойки себестоимость'!B36*(1+'мойки для партнеров'!$S$2),100)</f>
        <v>11000</v>
      </c>
      <c r="C36" s="1">
        <f>CEILING('мойки себестоимость'!C36*(1+'мойки для партнеров'!$S$2),100)</f>
        <v>11100</v>
      </c>
      <c r="D36" s="1">
        <f>CEILING('мойки себестоимость'!D36*(1+'мойки для партнеров'!$S$2),100)</f>
        <v>11100</v>
      </c>
      <c r="E36" s="1">
        <f>CEILING('мойки себестоимость'!E36*(1+'мойки для партнеров'!$S$2),100)</f>
        <v>11200</v>
      </c>
      <c r="F36" s="1">
        <f>CEILING('мойки себестоимость'!F36*(1+'мойки для партнеров'!$S$2),100)</f>
        <v>11200</v>
      </c>
      <c r="G36" s="1">
        <f>CEILING('мойки себестоимость'!G36*(1+'мойки для партнеров'!$S$2),100)</f>
        <v>11200</v>
      </c>
      <c r="H36" s="1">
        <f>CEILING('мойки себестоимость'!H36*(1+'мойки для партнеров'!$S$2),100)</f>
        <v>22300</v>
      </c>
      <c r="I36" s="1">
        <f>CEILING('мойки себестоимость'!I36*(1+'мойки для партнеров'!$S$2),100)</f>
        <v>22300</v>
      </c>
      <c r="J36" s="1">
        <f>CEILING('мойки себестоимость'!J36*(1+'мойки для партнеров'!$S$2),100)</f>
        <v>22300</v>
      </c>
      <c r="K36" s="1">
        <f>CEILING('мойки себестоимость'!K36*(1+'мойки для партнеров'!$S$2),100)</f>
        <v>22200</v>
      </c>
      <c r="L36" s="1">
        <f>CEILING('мойки себестоимость'!L36*(1+'мойки для партнеров'!$S$2),100)</f>
        <v>22400</v>
      </c>
      <c r="M36" s="1">
        <f>CEILING('мойки себестоимость'!M36*(1+'мойки для партнеров'!$S$2),100)</f>
        <v>11000</v>
      </c>
      <c r="N36" s="1">
        <f>CEILING('мойки себестоимость'!N36*(1+'мойки для партнеров'!$S$2),100)</f>
        <v>11000</v>
      </c>
      <c r="O36" s="1">
        <f>CEILING('мойки себестоимость'!O36*(1+'мойки для партнеров'!$S$2),100)</f>
        <v>11000</v>
      </c>
      <c r="P36" s="28">
        <v>0</v>
      </c>
    </row>
    <row r="37" spans="1:16" x14ac:dyDescent="0.25">
      <c r="A37" s="6" t="s">
        <v>28</v>
      </c>
      <c r="B37" s="1">
        <f>CEILING('мойки себестоимость'!B37*(1+'мойки для партнеров'!$S$2),100)</f>
        <v>11100</v>
      </c>
      <c r="C37" s="1">
        <f>CEILING('мойки себестоимость'!C37*(1+'мойки для партнеров'!$S$2),100)</f>
        <v>11100</v>
      </c>
      <c r="D37" s="1">
        <f>CEILING('мойки себестоимость'!D37*(1+'мойки для партнеров'!$S$2),100)</f>
        <v>11200</v>
      </c>
      <c r="E37" s="1">
        <f>CEILING('мойки себестоимость'!E37*(1+'мойки для партнеров'!$S$2),100)</f>
        <v>11200</v>
      </c>
      <c r="F37" s="1">
        <f>CEILING('мойки себестоимость'!F37*(1+'мойки для партнеров'!$S$2),100)</f>
        <v>11300</v>
      </c>
      <c r="G37" s="1">
        <f>CEILING('мойки себестоимость'!G37*(1+'мойки для партнеров'!$S$2),100)</f>
        <v>11200</v>
      </c>
      <c r="H37" s="1">
        <f>CEILING('мойки себестоимость'!H37*(1+'мойки для партнеров'!$S$2),100)</f>
        <v>22300</v>
      </c>
      <c r="I37" s="1">
        <f>CEILING('мойки себестоимость'!I37*(1+'мойки для партнеров'!$S$2),100)</f>
        <v>22400</v>
      </c>
      <c r="J37" s="1">
        <f>CEILING('мойки себестоимость'!J37*(1+'мойки для партнеров'!$S$2),100)</f>
        <v>22400</v>
      </c>
      <c r="K37" s="1">
        <f>CEILING('мойки себестоимость'!K37*(1+'мойки для партнеров'!$S$2),100)</f>
        <v>22300</v>
      </c>
      <c r="L37" s="1">
        <f>CEILING('мойки себестоимость'!L37*(1+'мойки для партнеров'!$S$2),100)</f>
        <v>22500</v>
      </c>
      <c r="M37" s="1">
        <f>CEILING('мойки себестоимость'!M37*(1+'мойки для партнеров'!$S$2),100)</f>
        <v>11000</v>
      </c>
      <c r="N37" s="1">
        <f>CEILING('мойки себестоимость'!N37*(1+'мойки для партнеров'!$S$2),100)</f>
        <v>11000</v>
      </c>
      <c r="O37" s="1">
        <f>CEILING('мойки себестоимость'!O37*(1+'мойки для партнеров'!$S$2),100)</f>
        <v>11000</v>
      </c>
      <c r="P37" s="28">
        <v>0</v>
      </c>
    </row>
    <row r="38" spans="1:16" x14ac:dyDescent="0.25">
      <c r="A38" s="6" t="s">
        <v>29</v>
      </c>
      <c r="B38" s="1">
        <f>CEILING('мойки себестоимость'!B38*(1+'мойки для партнеров'!$S$2),100)</f>
        <v>11100</v>
      </c>
      <c r="C38" s="1">
        <f>CEILING('мойки себестоимость'!C38*(1+'мойки для партнеров'!$S$2),100)</f>
        <v>11100</v>
      </c>
      <c r="D38" s="1">
        <f>CEILING('мойки себестоимость'!D38*(1+'мойки для партнеров'!$S$2),100)</f>
        <v>11200</v>
      </c>
      <c r="E38" s="1">
        <f>CEILING('мойки себестоимость'!E38*(1+'мойки для партнеров'!$S$2),100)</f>
        <v>11300</v>
      </c>
      <c r="F38" s="1">
        <f>CEILING('мойки себестоимость'!F38*(1+'мойки для партнеров'!$S$2),100)</f>
        <v>11300</v>
      </c>
      <c r="G38" s="1">
        <f>CEILING('мойки себестоимость'!G38*(1+'мойки для партнеров'!$S$2),100)</f>
        <v>11300</v>
      </c>
      <c r="H38" s="1">
        <f>CEILING('мойки себестоимость'!H38*(1+'мойки для партнеров'!$S$2),100)</f>
        <v>22400</v>
      </c>
      <c r="I38" s="1">
        <f>CEILING('мойки себестоимость'!I38*(1+'мойки для партнеров'!$S$2),100)</f>
        <v>22500</v>
      </c>
      <c r="J38" s="1">
        <f>CEILING('мойки себестоимость'!J38*(1+'мойки для партнеров'!$S$2),100)</f>
        <v>22500</v>
      </c>
      <c r="K38" s="1">
        <f>CEILING('мойки себестоимость'!K38*(1+'мойки для партнеров'!$S$2),100)</f>
        <v>22300</v>
      </c>
      <c r="L38" s="1">
        <f>CEILING('мойки себестоимость'!L38*(1+'мойки для партнеров'!$S$2),100)</f>
        <v>22600</v>
      </c>
      <c r="M38" s="1">
        <f>CEILING('мойки себестоимость'!M38*(1+'мойки для партнеров'!$S$2),100)</f>
        <v>11000</v>
      </c>
      <c r="N38" s="1">
        <f>CEILING('мойки себестоимость'!N38*(1+'мойки для партнеров'!$S$2),100)</f>
        <v>11000</v>
      </c>
      <c r="O38" s="1">
        <f>CEILING('мойки себестоимость'!O38*(1+'мойки для партнеров'!$S$2),100)</f>
        <v>11000</v>
      </c>
      <c r="P38" s="28">
        <v>0</v>
      </c>
    </row>
    <row r="39" spans="1:16" x14ac:dyDescent="0.25">
      <c r="A39" s="6" t="s">
        <v>193</v>
      </c>
      <c r="B39" s="1">
        <f>CEILING('мойки себестоимость'!B39*(1+'мойки для партнеров'!$S$2),100)</f>
        <v>11100</v>
      </c>
      <c r="C39" s="1">
        <f>CEILING('мойки себестоимость'!C39*(1+'мойки для партнеров'!$S$2),100)</f>
        <v>11200</v>
      </c>
      <c r="D39" s="1">
        <f>CEILING('мойки себестоимость'!D39*(1+'мойки для партнеров'!$S$2),100)</f>
        <v>11300</v>
      </c>
      <c r="E39" s="1">
        <f>CEILING('мойки себестоимость'!E39*(1+'мойки для партнеров'!$S$2),100)</f>
        <v>11300</v>
      </c>
      <c r="F39" s="1">
        <f>CEILING('мойки себестоимость'!F39*(1+'мойки для партнеров'!$S$2),100)</f>
        <v>11400</v>
      </c>
      <c r="G39" s="1">
        <f>CEILING('мойки себестоимость'!G39*(1+'мойки для партнеров'!$S$2),100)</f>
        <v>11300</v>
      </c>
      <c r="H39" s="1">
        <f>CEILING('мойки себестоимость'!H39*(1+'мойки для партнеров'!$S$2),100)</f>
        <v>22500</v>
      </c>
      <c r="I39" s="1">
        <f>CEILING('мойки себестоимость'!I39*(1+'мойки для партнеров'!$S$2),100)</f>
        <v>22600</v>
      </c>
      <c r="J39" s="1">
        <f>CEILING('мойки себестоимость'!J39*(1+'мойки для партнеров'!$S$2),100)</f>
        <v>22600</v>
      </c>
      <c r="K39" s="1">
        <f>CEILING('мойки себестоимость'!K39*(1+'мойки для партнеров'!$S$2),100)</f>
        <v>22500</v>
      </c>
      <c r="L39" s="1">
        <f>CEILING('мойки себестоимость'!L39*(1+'мойки для партнеров'!$S$2),100)</f>
        <v>22700</v>
      </c>
      <c r="M39" s="1">
        <f>CEILING('мойки себестоимость'!M39*(1+'мойки для партнеров'!$S$2),100)</f>
        <v>11100</v>
      </c>
      <c r="N39" s="1">
        <f>CEILING('мойки себестоимость'!N39*(1+'мойки для партнеров'!$S$2),100)</f>
        <v>11100</v>
      </c>
      <c r="O39" s="1">
        <f>CEILING('мойки себестоимость'!O39*(1+'мойки для партнеров'!$S$2),100)</f>
        <v>11100</v>
      </c>
      <c r="P39" s="28">
        <v>0</v>
      </c>
    </row>
    <row r="40" spans="1:16" x14ac:dyDescent="0.25">
      <c r="A40" s="36" t="s">
        <v>194</v>
      </c>
      <c r="B40" s="1">
        <f>CEILING('мойки себестоимость'!B40*(1+'мойки для партнеров'!$S$2),100)</f>
        <v>11200</v>
      </c>
      <c r="C40" s="1">
        <f>CEILING('мойки себестоимость'!C40*(1+'мойки для партнеров'!$S$2),100)</f>
        <v>11300</v>
      </c>
      <c r="D40" s="1">
        <f>CEILING('мойки себестоимость'!D40*(1+'мойки для партнеров'!$S$2),100)</f>
        <v>11400</v>
      </c>
      <c r="E40" s="1">
        <f>CEILING('мойки себестоимость'!E40*(1+'мойки для партнеров'!$S$2),100)</f>
        <v>11400</v>
      </c>
      <c r="F40" s="1">
        <f>CEILING('мойки себестоимость'!F40*(1+'мойки для партнеров'!$S$2),100)</f>
        <v>11500</v>
      </c>
      <c r="G40" s="1">
        <f>CEILING('мойки себестоимость'!G40*(1+'мойки для партнеров'!$S$2),100)</f>
        <v>11400</v>
      </c>
      <c r="H40" s="1">
        <f>CEILING('мойки себестоимость'!H40*(1+'мойки для партнеров'!$S$2),100)</f>
        <v>22700</v>
      </c>
      <c r="I40" s="1">
        <f>CEILING('мойки себестоимость'!I40*(1+'мойки для партнеров'!$S$2),100)</f>
        <v>22800</v>
      </c>
      <c r="J40" s="1">
        <f>CEILING('мойки себестоимость'!J40*(1+'мойки для партнеров'!$S$2),100)</f>
        <v>22800</v>
      </c>
      <c r="K40" s="1">
        <f>CEILING('мойки себестоимость'!K40*(1+'мойки для партнеров'!$S$2),100)</f>
        <v>22700</v>
      </c>
      <c r="L40" s="1">
        <f>CEILING('мойки себестоимость'!L40*(1+'мойки для партнеров'!$S$2),100)</f>
        <v>22900</v>
      </c>
      <c r="M40" s="1">
        <f>CEILING('мойки себестоимость'!M40*(1+'мойки для партнеров'!$S$2),100)</f>
        <v>11100</v>
      </c>
      <c r="N40" s="1">
        <f>CEILING('мойки себестоимость'!N40*(1+'мойки для партнеров'!$S$2),100)</f>
        <v>11100</v>
      </c>
      <c r="O40" s="1">
        <f>CEILING('мойки себестоимость'!O40*(1+'мойки для партнеров'!$S$2),100)</f>
        <v>11100</v>
      </c>
      <c r="P40" s="28">
        <v>0</v>
      </c>
    </row>
    <row r="41" spans="1:16" x14ac:dyDescent="0.25">
      <c r="A41" s="36" t="s">
        <v>195</v>
      </c>
      <c r="B41" s="1">
        <f>CEILING('мойки себестоимость'!B41*(1+'мойки для партнеров'!$S$2),100)</f>
        <v>11300</v>
      </c>
      <c r="C41" s="1">
        <f>CEILING('мойки себестоимость'!C41*(1+'мойки для партнеров'!$S$2),100)</f>
        <v>11300</v>
      </c>
      <c r="D41" s="1">
        <f>CEILING('мойки себестоимость'!D41*(1+'мойки для партнеров'!$S$2),100)</f>
        <v>11400</v>
      </c>
      <c r="E41" s="1">
        <f>CEILING('мойки себестоимость'!E41*(1+'мойки для партнеров'!$S$2),100)</f>
        <v>11500</v>
      </c>
      <c r="F41" s="1">
        <f>CEILING('мойки себестоимость'!F41*(1+'мойки для партнеров'!$S$2),100)</f>
        <v>11500</v>
      </c>
      <c r="G41" s="1">
        <f>CEILING('мойки себестоимость'!G41*(1+'мойки для партнеров'!$S$2),100)</f>
        <v>11500</v>
      </c>
      <c r="H41" s="1">
        <f>CEILING('мойки себестоимость'!H41*(1+'мойки для партнеров'!$S$2),100)</f>
        <v>22800</v>
      </c>
      <c r="I41" s="1">
        <f>CEILING('мойки себестоимость'!I41*(1+'мойки для партнеров'!$S$2),100)</f>
        <v>22900</v>
      </c>
      <c r="J41" s="1">
        <f>CEILING('мойки себестоимость'!J41*(1+'мойки для партнеров'!$S$2),100)</f>
        <v>22900</v>
      </c>
      <c r="K41" s="1">
        <f>CEILING('мойки себестоимость'!K41*(1+'мойки для партнеров'!$S$2),100)</f>
        <v>22700</v>
      </c>
      <c r="L41" s="1">
        <f>CEILING('мойки себестоимость'!L41*(1+'мойки для партнеров'!$S$2),100)</f>
        <v>23000</v>
      </c>
      <c r="M41" s="1">
        <f>CEILING('мойки себестоимость'!M41*(1+'мойки для партнеров'!$S$2),100)</f>
        <v>11100</v>
      </c>
      <c r="N41" s="1">
        <f>CEILING('мойки себестоимость'!N41*(1+'мойки для партнеров'!$S$2),100)</f>
        <v>11100</v>
      </c>
      <c r="O41" s="1">
        <f>CEILING('мойки себестоимость'!O41*(1+'мойки для партнеров'!$S$2),100)</f>
        <v>11100</v>
      </c>
      <c r="P41" s="28">
        <v>0</v>
      </c>
    </row>
    <row r="42" spans="1:16" x14ac:dyDescent="0.25">
      <c r="A42" s="6" t="s">
        <v>37</v>
      </c>
      <c r="B42" s="1" t="e">
        <f>CEILING('мойки себестоимость'!B42*(1+'мойки для партнеров'!$S$2),100)</f>
        <v>#VALUE!</v>
      </c>
      <c r="C42" s="1" t="e">
        <f>CEILING('мойки себестоимость'!C42*(1+'мойки для партнеров'!$S$2),100)</f>
        <v>#VALUE!</v>
      </c>
      <c r="D42" s="1" t="e">
        <f>CEILING('мойки себестоимость'!D42*(1+'мойки для партнеров'!$S$2),100)</f>
        <v>#VALUE!</v>
      </c>
      <c r="E42" s="1" t="e">
        <f>CEILING('мойки себестоимость'!E42*(1+'мойки для партнеров'!$S$2),100)</f>
        <v>#VALUE!</v>
      </c>
      <c r="F42" s="1" t="e">
        <f>CEILING('мойки себестоимость'!F42*(1+'мойки для партнеров'!$S$2),100)</f>
        <v>#VALUE!</v>
      </c>
      <c r="G42" s="1" t="e">
        <f>CEILING('мойки себестоимость'!G42*(1+'мойки для партнеров'!$S$2),100)</f>
        <v>#VALUE!</v>
      </c>
      <c r="H42" s="1" t="e">
        <f>CEILING('мойки себестоимость'!H42*(1+'мойки для партнеров'!$S$2),100)</f>
        <v>#VALUE!</v>
      </c>
      <c r="I42" s="1" t="e">
        <f>CEILING('мойки себестоимость'!I42*(1+'мойки для партнеров'!$S$2),100)</f>
        <v>#VALUE!</v>
      </c>
      <c r="J42" s="1" t="e">
        <f>CEILING('мойки себестоимость'!J42*(1+'мойки для партнеров'!$S$2),100)</f>
        <v>#VALUE!</v>
      </c>
      <c r="K42" s="1" t="e">
        <f>CEILING('мойки себестоимость'!K42*(1+'мойки для партнеров'!$S$2),100)</f>
        <v>#VALUE!</v>
      </c>
      <c r="L42" s="1" t="e">
        <f>CEILING('мойки себестоимость'!L42*(1+'мойки для партнеров'!$S$2),100)</f>
        <v>#VALUE!</v>
      </c>
      <c r="M42" s="1" t="e">
        <f>CEILING('мойки себестоимость'!M42*(1+'мойки для партнеров'!$S$2),100)</f>
        <v>#VALUE!</v>
      </c>
      <c r="N42" s="1" t="e">
        <f>CEILING('мойки себестоимость'!N42*(1+'мойки для партнеров'!$S$2),100)</f>
        <v>#VALUE!</v>
      </c>
      <c r="O42" s="1" t="e">
        <f>CEILING('мойки себестоимость'!O42*(1+'мойки для партнеров'!$S$2),100)</f>
        <v>#VALUE!</v>
      </c>
      <c r="P42" s="28">
        <v>0</v>
      </c>
    </row>
    <row r="43" spans="1:16" x14ac:dyDescent="0.25">
      <c r="A43" s="6" t="s">
        <v>38</v>
      </c>
      <c r="B43" s="1" t="e">
        <f>CEILING('мойки себестоимость'!B43*(1+'мойки для партнеров'!$S$2),100)</f>
        <v>#VALUE!</v>
      </c>
      <c r="C43" s="1" t="e">
        <f>CEILING('мойки себестоимость'!C43*(1+'мойки для партнеров'!$S$2),100)</f>
        <v>#VALUE!</v>
      </c>
      <c r="D43" s="1" t="e">
        <f>CEILING('мойки себестоимость'!D43*(1+'мойки для партнеров'!$S$2),100)</f>
        <v>#VALUE!</v>
      </c>
      <c r="E43" s="1" t="e">
        <f>CEILING('мойки себестоимость'!E43*(1+'мойки для партнеров'!$S$2),100)</f>
        <v>#VALUE!</v>
      </c>
      <c r="F43" s="1" t="e">
        <f>CEILING('мойки себестоимость'!F43*(1+'мойки для партнеров'!$S$2),100)</f>
        <v>#VALUE!</v>
      </c>
      <c r="G43" s="1" t="e">
        <f>CEILING('мойки себестоимость'!G43*(1+'мойки для партнеров'!$S$2),100)</f>
        <v>#VALUE!</v>
      </c>
      <c r="H43" s="1" t="e">
        <f>CEILING('мойки себестоимость'!H43*(1+'мойки для партнеров'!$S$2),100)</f>
        <v>#VALUE!</v>
      </c>
      <c r="I43" s="1" t="e">
        <f>CEILING('мойки себестоимость'!I43*(1+'мойки для партнеров'!$S$2),100)</f>
        <v>#VALUE!</v>
      </c>
      <c r="J43" s="1" t="e">
        <f>CEILING('мойки себестоимость'!J43*(1+'мойки для партнеров'!$S$2),100)</f>
        <v>#VALUE!</v>
      </c>
      <c r="K43" s="1" t="e">
        <f>CEILING('мойки себестоимость'!K43*(1+'мойки для партнеров'!$S$2),100)</f>
        <v>#VALUE!</v>
      </c>
      <c r="L43" s="1" t="e">
        <f>CEILING('мойки себестоимость'!L43*(1+'мойки для партнеров'!$S$2),100)</f>
        <v>#VALUE!</v>
      </c>
      <c r="M43" s="1" t="e">
        <f>CEILING('мойки себестоимость'!M43*(1+'мойки для партнеров'!$S$2),100)</f>
        <v>#VALUE!</v>
      </c>
      <c r="N43" s="1" t="e">
        <f>CEILING('мойки себестоимость'!N43*(1+'мойки для партнеров'!$S$2),100)</f>
        <v>#VALUE!</v>
      </c>
      <c r="O43" s="1" t="e">
        <f>CEILING('мойки себестоимость'!O43*(1+'мойки для партнеров'!$S$2),100)</f>
        <v>#VALUE!</v>
      </c>
      <c r="P43" s="28">
        <v>0</v>
      </c>
    </row>
    <row r="44" spans="1:16" x14ac:dyDescent="0.25">
      <c r="A44" s="6" t="s">
        <v>39</v>
      </c>
      <c r="B44" s="1" t="e">
        <f>CEILING('мойки себестоимость'!B44*(1+'мойки для партнеров'!$S$2),100)</f>
        <v>#VALUE!</v>
      </c>
      <c r="C44" s="1" t="e">
        <f>CEILING('мойки себестоимость'!C44*(1+'мойки для партнеров'!$S$2),100)</f>
        <v>#VALUE!</v>
      </c>
      <c r="D44" s="1" t="e">
        <f>CEILING('мойки себестоимость'!D44*(1+'мойки для партнеров'!$S$2),100)</f>
        <v>#VALUE!</v>
      </c>
      <c r="E44" s="1" t="e">
        <f>CEILING('мойки себестоимость'!E44*(1+'мойки для партнеров'!$S$2),100)</f>
        <v>#VALUE!</v>
      </c>
      <c r="F44" s="1" t="e">
        <f>CEILING('мойки себестоимость'!F44*(1+'мойки для партнеров'!$S$2),100)</f>
        <v>#VALUE!</v>
      </c>
      <c r="G44" s="1" t="e">
        <f>CEILING('мойки себестоимость'!G44*(1+'мойки для партнеров'!$S$2),100)</f>
        <v>#VALUE!</v>
      </c>
      <c r="H44" s="1" t="e">
        <f>CEILING('мойки себестоимость'!H44*(1+'мойки для партнеров'!$S$2),100)</f>
        <v>#VALUE!</v>
      </c>
      <c r="I44" s="1" t="e">
        <f>CEILING('мойки себестоимость'!I44*(1+'мойки для партнеров'!$S$2),100)</f>
        <v>#VALUE!</v>
      </c>
      <c r="J44" s="1" t="e">
        <f>CEILING('мойки себестоимость'!J44*(1+'мойки для партнеров'!$S$2),100)</f>
        <v>#VALUE!</v>
      </c>
      <c r="K44" s="1" t="e">
        <f>CEILING('мойки себестоимость'!K44*(1+'мойки для партнеров'!$S$2),100)</f>
        <v>#VALUE!</v>
      </c>
      <c r="L44" s="1" t="e">
        <f>CEILING('мойки себестоимость'!L44*(1+'мойки для партнеров'!$S$2),100)</f>
        <v>#VALUE!</v>
      </c>
      <c r="M44" s="1" t="e">
        <f>CEILING('мойки себестоимость'!M44*(1+'мойки для партнеров'!$S$2),100)</f>
        <v>#VALUE!</v>
      </c>
      <c r="N44" s="1" t="e">
        <f>CEILING('мойки себестоимость'!N44*(1+'мойки для партнеров'!$S$2),100)</f>
        <v>#VALUE!</v>
      </c>
      <c r="O44" s="1" t="e">
        <f>CEILING('мойки себестоимость'!O44*(1+'мойки для партнеров'!$S$2),100)</f>
        <v>#VALUE!</v>
      </c>
      <c r="P44" s="28">
        <v>0</v>
      </c>
    </row>
    <row r="45" spans="1:16" x14ac:dyDescent="0.25">
      <c r="A45" s="36" t="s">
        <v>276</v>
      </c>
      <c r="B45" s="1">
        <f>CEILING('мойки себестоимость'!B45*(1+'мойки для партнеров'!$S$2),100)</f>
        <v>10800</v>
      </c>
      <c r="C45" s="1">
        <f>CEILING('мойки себестоимость'!C45*(1+'мойки для партнеров'!$S$2),100)</f>
        <v>10900</v>
      </c>
      <c r="D45" s="1">
        <f>CEILING('мойки себестоимость'!D45*(1+'мойки для партнеров'!$S$2),100)</f>
        <v>10900</v>
      </c>
      <c r="E45" s="1">
        <f>CEILING('мойки себестоимость'!E45*(1+'мойки для партнеров'!$S$2),100)</f>
        <v>10900</v>
      </c>
      <c r="F45" s="1">
        <f>CEILING('мойки себестоимость'!F45*(1+'мойки для партнеров'!$S$2),100)</f>
        <v>11000</v>
      </c>
      <c r="G45" s="1">
        <f>CEILING('мойки себестоимость'!G45*(1+'мойки для партнеров'!$S$2),100)</f>
        <v>10900</v>
      </c>
      <c r="H45" s="1">
        <f>CEILING('мойки себестоимость'!H45*(1+'мойки для партнеров'!$S$2),100)</f>
        <v>21800</v>
      </c>
      <c r="I45" s="1">
        <f>CEILING('мойки себестоимость'!I45*(1+'мойки для партнеров'!$S$2),100)</f>
        <v>21800</v>
      </c>
      <c r="J45" s="1">
        <f>CEILING('мойки себестоимость'!J45*(1+'мойки для партнеров'!$S$2),100)</f>
        <v>21800</v>
      </c>
      <c r="K45" s="1">
        <f>CEILING('мойки себестоимость'!K45*(1+'мойки для партнеров'!$S$2),100)</f>
        <v>21800</v>
      </c>
      <c r="L45" s="1">
        <f>CEILING('мойки себестоимость'!L45*(1+'мойки для партнеров'!$S$2),100)</f>
        <v>21900</v>
      </c>
      <c r="M45" s="1">
        <f>CEILING('мойки себестоимость'!M45*(1+'мойки для партнеров'!$S$2),100)</f>
        <v>10800</v>
      </c>
      <c r="N45" s="1">
        <f>CEILING('мойки себестоимость'!N45*(1+'мойки для партнеров'!$S$2),100)</f>
        <v>10800</v>
      </c>
      <c r="O45" s="1">
        <f>CEILING('мойки себестоимость'!O45*(1+'мойки для партнеров'!$S$2),100)</f>
        <v>10800</v>
      </c>
      <c r="P45" s="28">
        <v>0</v>
      </c>
    </row>
    <row r="46" spans="1:16" x14ac:dyDescent="0.25">
      <c r="A46" s="36" t="s">
        <v>277</v>
      </c>
      <c r="B46" s="1">
        <f>CEILING('мойки себестоимость'!B46*(1+'мойки для партнеров'!$S$2),100)</f>
        <v>10900</v>
      </c>
      <c r="C46" s="1">
        <f>CEILING('мойки себестоимость'!C46*(1+'мойки для партнеров'!$S$2),100)</f>
        <v>10900</v>
      </c>
      <c r="D46" s="1">
        <f>CEILING('мойки себестоимость'!D46*(1+'мойки для партнеров'!$S$2),100)</f>
        <v>10900</v>
      </c>
      <c r="E46" s="1">
        <f>CEILING('мойки себестоимость'!E46*(1+'мойки для партнеров'!$S$2),100)</f>
        <v>11000</v>
      </c>
      <c r="F46" s="1">
        <f>CEILING('мойки себестоимость'!F46*(1+'мойки для партнеров'!$S$2),100)</f>
        <v>11000</v>
      </c>
      <c r="G46" s="1">
        <f>CEILING('мойки себестоимость'!G46*(1+'мойки для партнеров'!$S$2),100)</f>
        <v>11000</v>
      </c>
      <c r="H46" s="1">
        <f>CEILING('мойки себестоимость'!H46*(1+'мойки для партнеров'!$S$2),100)</f>
        <v>21900</v>
      </c>
      <c r="I46" s="1">
        <f>CEILING('мойки себестоимость'!I46*(1+'мойки для партнеров'!$S$2),100)</f>
        <v>21900</v>
      </c>
      <c r="J46" s="1">
        <f>CEILING('мойки себестоимость'!J46*(1+'мойки для партнеров'!$S$2),100)</f>
        <v>21900</v>
      </c>
      <c r="K46" s="1">
        <f>CEILING('мойки себестоимость'!K46*(1+'мойки для партнеров'!$S$2),100)</f>
        <v>21800</v>
      </c>
      <c r="L46" s="1">
        <f>CEILING('мойки себестоимость'!L46*(1+'мойки для партнеров'!$S$2),100)</f>
        <v>22000</v>
      </c>
      <c r="M46" s="1">
        <f>CEILING('мойки себестоимость'!M46*(1+'мойки для партнеров'!$S$2),100)</f>
        <v>10800</v>
      </c>
      <c r="N46" s="1">
        <f>CEILING('мойки себестоимость'!N46*(1+'мойки для партнеров'!$S$2),100)</f>
        <v>10800</v>
      </c>
      <c r="O46" s="1">
        <f>CEILING('мойки себестоимость'!O46*(1+'мойки для партнеров'!$S$2),100)</f>
        <v>10800</v>
      </c>
      <c r="P46" s="28">
        <v>0</v>
      </c>
    </row>
    <row r="47" spans="1:16" x14ac:dyDescent="0.25">
      <c r="A47" s="36" t="s">
        <v>155</v>
      </c>
      <c r="B47" s="1">
        <f>CEILING('мойки себестоимость'!B47*(1+'мойки для партнеров'!$S$2),100)</f>
        <v>10900</v>
      </c>
      <c r="C47" s="1">
        <f>CEILING('мойки себестоимость'!C47*(1+'мойки для партнеров'!$S$2),100)</f>
        <v>10900</v>
      </c>
      <c r="D47" s="1">
        <f>CEILING('мойки себестоимость'!D47*(1+'мойки для партнеров'!$S$2),100)</f>
        <v>11000</v>
      </c>
      <c r="E47" s="1">
        <f>CEILING('мойки себестоимость'!E47*(1+'мойки для партнеров'!$S$2),100)</f>
        <v>11000</v>
      </c>
      <c r="F47" s="1">
        <f>CEILING('мойки себестоимость'!F47*(1+'мойки для партнеров'!$S$2),100)</f>
        <v>11000</v>
      </c>
      <c r="G47" s="1">
        <f>CEILING('мойки себестоимость'!G47*(1+'мойки для партнеров'!$S$2),100)</f>
        <v>11000</v>
      </c>
      <c r="H47" s="1">
        <f>CEILING('мойки себестоимость'!H47*(1+'мойки для партнеров'!$S$2),100)</f>
        <v>21900</v>
      </c>
      <c r="I47" s="1">
        <f>CEILING('мойки себестоимость'!I47*(1+'мойки для партнеров'!$S$2),100)</f>
        <v>22000</v>
      </c>
      <c r="J47" s="1">
        <f>CEILING('мойки себестоимость'!J47*(1+'мойки для партнеров'!$S$2),100)</f>
        <v>22000</v>
      </c>
      <c r="K47" s="1">
        <f>CEILING('мойки себестоимость'!K47*(1+'мойки для партнеров'!$S$2),100)</f>
        <v>21900</v>
      </c>
      <c r="L47" s="1">
        <f>CEILING('мойки себестоимость'!L47*(1+'мойки для партнеров'!$S$2),100)</f>
        <v>22000</v>
      </c>
      <c r="M47" s="1">
        <f>CEILING('мойки себестоимость'!M47*(1+'мойки для партнеров'!$S$2),100)</f>
        <v>10800</v>
      </c>
      <c r="N47" s="1">
        <f>CEILING('мойки себестоимость'!N47*(1+'мойки для партнеров'!$S$2),100)</f>
        <v>10800</v>
      </c>
      <c r="O47" s="1">
        <f>CEILING('мойки себестоимость'!O47*(1+'мойки для партнеров'!$S$2),100)</f>
        <v>10800</v>
      </c>
      <c r="P47" s="28">
        <v>0</v>
      </c>
    </row>
    <row r="48" spans="1:16" x14ac:dyDescent="0.25">
      <c r="A48" s="36" t="s">
        <v>179</v>
      </c>
      <c r="B48" s="1">
        <f>CEILING('мойки себестоимость'!B48*(1+'мойки для партнеров'!$S$2),100)</f>
        <v>10900</v>
      </c>
      <c r="C48" s="1">
        <f>CEILING('мойки себестоимость'!C48*(1+'мойки для партнеров'!$S$2),100)</f>
        <v>11000</v>
      </c>
      <c r="D48" s="1">
        <f>CEILING('мойки себестоимость'!D48*(1+'мойки для партнеров'!$S$2),100)</f>
        <v>11000</v>
      </c>
      <c r="E48" s="1">
        <f>CEILING('мойки себестоимость'!E48*(1+'мойки для партнеров'!$S$2),100)</f>
        <v>11000</v>
      </c>
      <c r="F48" s="1">
        <f>CEILING('мойки себестоимость'!F48*(1+'мойки для партнеров'!$S$2),100)</f>
        <v>11100</v>
      </c>
      <c r="G48" s="1">
        <f>CEILING('мойки себестоимость'!G48*(1+'мойки для партнеров'!$S$2),100)</f>
        <v>11000</v>
      </c>
      <c r="H48" s="1">
        <f>CEILING('мойки себестоимость'!H48*(1+'мойки для партнеров'!$S$2),100)</f>
        <v>22000</v>
      </c>
      <c r="I48" s="1">
        <f>CEILING('мойки себестоимость'!I48*(1+'мойки для партнеров'!$S$2),100)</f>
        <v>22000</v>
      </c>
      <c r="J48" s="1">
        <f>CEILING('мойки себестоимость'!J48*(1+'мойки для партнеров'!$S$2),100)</f>
        <v>22000</v>
      </c>
      <c r="K48" s="1">
        <f>CEILING('мойки себестоимость'!K48*(1+'мойки для партнеров'!$S$2),100)</f>
        <v>21900</v>
      </c>
      <c r="L48" s="1">
        <f>CEILING('мойки себестоимость'!L48*(1+'мойки для партнеров'!$S$2),100)</f>
        <v>22100</v>
      </c>
      <c r="M48" s="1">
        <f>CEILING('мойки себестоимость'!M48*(1+'мойки для партнеров'!$S$2),100)</f>
        <v>10900</v>
      </c>
      <c r="N48" s="1">
        <f>CEILING('мойки себестоимость'!N48*(1+'мойки для партнеров'!$S$2),100)</f>
        <v>10900</v>
      </c>
      <c r="O48" s="1">
        <f>CEILING('мойки себестоимость'!O48*(1+'мойки для партнеров'!$S$2),100)</f>
        <v>10900</v>
      </c>
      <c r="P48" s="28">
        <v>0</v>
      </c>
    </row>
    <row r="49" spans="1:16" x14ac:dyDescent="0.25">
      <c r="A49" s="36" t="s">
        <v>180</v>
      </c>
      <c r="B49" s="1">
        <f>CEILING('мойки себестоимость'!B49*(1+'мойки для партнеров'!$S$2),100)</f>
        <v>10900</v>
      </c>
      <c r="C49" s="1">
        <f>CEILING('мойки себестоимость'!C49*(1+'мойки для партнеров'!$S$2),100)</f>
        <v>11000</v>
      </c>
      <c r="D49" s="1">
        <f>CEILING('мойки себестоимость'!D49*(1+'мойки для партнеров'!$S$2),100)</f>
        <v>11000</v>
      </c>
      <c r="E49" s="1">
        <f>CEILING('мойки себестоимость'!E49*(1+'мойки для партнеров'!$S$2),100)</f>
        <v>11100</v>
      </c>
      <c r="F49" s="1">
        <f>CEILING('мойки себестоимость'!F49*(1+'мойки для партнеров'!$S$2),100)</f>
        <v>11100</v>
      </c>
      <c r="G49" s="1">
        <f>CEILING('мойки себестоимость'!G49*(1+'мойки для партнеров'!$S$2),100)</f>
        <v>11100</v>
      </c>
      <c r="H49" s="1">
        <f>CEILING('мойки себестоимость'!H49*(1+'мойки для партнеров'!$S$2),100)</f>
        <v>22000</v>
      </c>
      <c r="I49" s="1">
        <f>CEILING('мойки себестоимость'!I49*(1+'мойки для партнеров'!$S$2),100)</f>
        <v>22100</v>
      </c>
      <c r="J49" s="1">
        <f>CEILING('мойки себестоимость'!J49*(1+'мойки для партнеров'!$S$2),100)</f>
        <v>22100</v>
      </c>
      <c r="K49" s="1">
        <f>CEILING('мойки себестоимость'!K49*(1+'мойки для партнеров'!$S$2),100)</f>
        <v>22000</v>
      </c>
      <c r="L49" s="1">
        <f>CEILING('мойки себестоимость'!L49*(1+'мойки для партнеров'!$S$2),100)</f>
        <v>22200</v>
      </c>
      <c r="M49" s="1">
        <f>CEILING('мойки себестоимость'!M49*(1+'мойки для партнеров'!$S$2),100)</f>
        <v>10900</v>
      </c>
      <c r="N49" s="1">
        <f>CEILING('мойки себестоимость'!N49*(1+'мойки для партнеров'!$S$2),100)</f>
        <v>10900</v>
      </c>
      <c r="O49" s="1">
        <f>CEILING('мойки себестоимость'!O49*(1+'мойки для партнеров'!$S$2),100)</f>
        <v>10900</v>
      </c>
      <c r="P49" s="28">
        <v>0</v>
      </c>
    </row>
    <row r="50" spans="1:16" x14ac:dyDescent="0.25">
      <c r="A50" s="36" t="s">
        <v>156</v>
      </c>
      <c r="B50" s="1">
        <f>CEILING('мойки себестоимость'!B50*(1+'мойки для партнеров'!$S$2),100)</f>
        <v>11000</v>
      </c>
      <c r="C50" s="1">
        <f>CEILING('мойки себестоимость'!C50*(1+'мойки для партнеров'!$S$2),100)</f>
        <v>11100</v>
      </c>
      <c r="D50" s="1">
        <f>CEILING('мойки себестоимость'!D50*(1+'мойки для партнеров'!$S$2),100)</f>
        <v>11100</v>
      </c>
      <c r="E50" s="1">
        <f>CEILING('мойки себестоимость'!E50*(1+'мойки для партнеров'!$S$2),100)</f>
        <v>11200</v>
      </c>
      <c r="F50" s="1">
        <f>CEILING('мойки себестоимость'!F50*(1+'мойки для партнеров'!$S$2),100)</f>
        <v>11200</v>
      </c>
      <c r="G50" s="1">
        <f>CEILING('мойки себестоимость'!G50*(1+'мойки для партнеров'!$S$2),100)</f>
        <v>11200</v>
      </c>
      <c r="H50" s="1">
        <f>CEILING('мойки себестоимость'!H50*(1+'мойки для партнеров'!$S$2),100)</f>
        <v>22300</v>
      </c>
      <c r="I50" s="1">
        <f>CEILING('мойки себестоимость'!I50*(1+'мойки для партнеров'!$S$2),100)</f>
        <v>22300</v>
      </c>
      <c r="J50" s="1">
        <f>CEILING('мойки себестоимость'!J50*(1+'мойки для партнеров'!$S$2),100)</f>
        <v>22300</v>
      </c>
      <c r="K50" s="1">
        <f>CEILING('мойки себестоимость'!K50*(1+'мойки для партнеров'!$S$2),100)</f>
        <v>22200</v>
      </c>
      <c r="L50" s="1">
        <f>CEILING('мойки себестоимость'!L50*(1+'мойки для партнеров'!$S$2),100)</f>
        <v>22400</v>
      </c>
      <c r="M50" s="1">
        <f>CEILING('мойки себестоимость'!M50*(1+'мойки для партнеров'!$S$2),100)</f>
        <v>11000</v>
      </c>
      <c r="N50" s="1">
        <f>CEILING('мойки себестоимость'!N50*(1+'мойки для партнеров'!$S$2),100)</f>
        <v>11000</v>
      </c>
      <c r="O50" s="1">
        <f>CEILING('мойки себестоимость'!O50*(1+'мойки для партнеров'!$S$2),100)</f>
        <v>11000</v>
      </c>
      <c r="P50" s="28">
        <v>0</v>
      </c>
    </row>
    <row r="51" spans="1:16" x14ac:dyDescent="0.25">
      <c r="A51" s="36" t="s">
        <v>171</v>
      </c>
      <c r="B51" s="1">
        <f>CEILING('мойки себестоимость'!B51*(1+'мойки для партнеров'!$S$2),100)</f>
        <v>11000</v>
      </c>
      <c r="C51" s="1">
        <f>CEILING('мойки себестоимость'!C51*(1+'мойки для партнеров'!$S$2),100)</f>
        <v>11100</v>
      </c>
      <c r="D51" s="1">
        <f>CEILING('мойки себестоимость'!D51*(1+'мойки для партнеров'!$S$2),100)</f>
        <v>11100</v>
      </c>
      <c r="E51" s="1">
        <f>CEILING('мойки себестоимость'!E51*(1+'мойки для партнеров'!$S$2),100)</f>
        <v>11200</v>
      </c>
      <c r="F51" s="1">
        <f>CEILING('мойки себестоимость'!F51*(1+'мойки для партнеров'!$S$2),100)</f>
        <v>11200</v>
      </c>
      <c r="G51" s="1">
        <f>CEILING('мойки себестоимость'!G51*(1+'мойки для партнеров'!$S$2),100)</f>
        <v>11200</v>
      </c>
      <c r="H51" s="1">
        <f>CEILING('мойки себестоимость'!H51*(1+'мойки для партнеров'!$S$2),100)</f>
        <v>22300</v>
      </c>
      <c r="I51" s="1">
        <f>CEILING('мойки себестоимость'!I51*(1+'мойки для партнеров'!$S$2),100)</f>
        <v>22300</v>
      </c>
      <c r="J51" s="1">
        <f>CEILING('мойки себестоимость'!J51*(1+'мойки для партнеров'!$S$2),100)</f>
        <v>22300</v>
      </c>
      <c r="K51" s="1">
        <f>CEILING('мойки себестоимость'!K51*(1+'мойки для партнеров'!$S$2),100)</f>
        <v>22200</v>
      </c>
      <c r="L51" s="1">
        <f>CEILING('мойки себестоимость'!L51*(1+'мойки для партнеров'!$S$2),100)</f>
        <v>22400</v>
      </c>
      <c r="M51" s="1">
        <f>CEILING('мойки себестоимость'!M51*(1+'мойки для партнеров'!$S$2),100)</f>
        <v>11000</v>
      </c>
      <c r="N51" s="1">
        <f>CEILING('мойки себестоимость'!N51*(1+'мойки для партнеров'!$S$2),100)</f>
        <v>11000</v>
      </c>
      <c r="O51" s="1">
        <f>CEILING('мойки себестоимость'!O51*(1+'мойки для партнеров'!$S$2),100)</f>
        <v>11000</v>
      </c>
      <c r="P51" s="28">
        <v>0</v>
      </c>
    </row>
    <row r="52" spans="1:16" x14ac:dyDescent="0.25">
      <c r="A52" s="36" t="s">
        <v>157</v>
      </c>
      <c r="B52" s="1">
        <f>CEILING('мойки себестоимость'!B52*(1+'мойки для партнеров'!$S$2),100)</f>
        <v>11100</v>
      </c>
      <c r="C52" s="1">
        <f>CEILING('мойки себестоимость'!C52*(1+'мойки для партнеров'!$S$2),100)</f>
        <v>11200</v>
      </c>
      <c r="D52" s="1">
        <f>CEILING('мойки себестоимость'!D52*(1+'мойки для партнеров'!$S$2),100)</f>
        <v>11200</v>
      </c>
      <c r="E52" s="1">
        <f>CEILING('мойки себестоимость'!E52*(1+'мойки для партнеров'!$S$2),100)</f>
        <v>11300</v>
      </c>
      <c r="F52" s="1">
        <f>CEILING('мойки себестоимость'!F52*(1+'мойки для партнеров'!$S$2),100)</f>
        <v>11400</v>
      </c>
      <c r="G52" s="1">
        <f>CEILING('мойки себестоимость'!G52*(1+'мойки для партнеров'!$S$2),100)</f>
        <v>11300</v>
      </c>
      <c r="H52" s="1">
        <f>CEILING('мойки себестоимость'!H52*(1+'мойки для партнеров'!$S$2),100)</f>
        <v>22500</v>
      </c>
      <c r="I52" s="1">
        <f>CEILING('мойки себестоимость'!I52*(1+'мойки для партнеров'!$S$2),100)</f>
        <v>22500</v>
      </c>
      <c r="J52" s="1">
        <f>CEILING('мойки себестоимость'!J52*(1+'мойки для партнеров'!$S$2),100)</f>
        <v>22500</v>
      </c>
      <c r="K52" s="1">
        <f>CEILING('мойки себестоимость'!K52*(1+'мойки для партнеров'!$S$2),100)</f>
        <v>22400</v>
      </c>
      <c r="L52" s="1">
        <f>CEILING('мойки себестоимость'!L52*(1+'мойки для партнеров'!$S$2),100)</f>
        <v>22700</v>
      </c>
      <c r="M52" s="1">
        <f>CEILING('мойки себестоимость'!M52*(1+'мойки для партнеров'!$S$2),100)</f>
        <v>11000</v>
      </c>
      <c r="N52" s="1">
        <f>CEILING('мойки себестоимость'!N52*(1+'мойки для партнеров'!$S$2),100)</f>
        <v>11000</v>
      </c>
      <c r="O52" s="1">
        <f>CEILING('мойки себестоимость'!O52*(1+'мойки для партнеров'!$S$2),100)</f>
        <v>11000</v>
      </c>
      <c r="P52" s="28">
        <v>0</v>
      </c>
    </row>
    <row r="53" spans="1:16" x14ac:dyDescent="0.25">
      <c r="A53" s="36" t="s">
        <v>278</v>
      </c>
      <c r="B53" s="1">
        <f>CEILING('мойки себестоимость'!B53*(1+'мойки для партнеров'!$S$2),100)</f>
        <v>11200</v>
      </c>
      <c r="C53" s="1">
        <f>CEILING('мойки себестоимость'!C53*(1+'мойки для партнеров'!$S$2),100)</f>
        <v>11200</v>
      </c>
      <c r="D53" s="1">
        <f>CEILING('мойки себестоимость'!D53*(1+'мойки для партнеров'!$S$2),100)</f>
        <v>11300</v>
      </c>
      <c r="E53" s="1">
        <f>CEILING('мойки себестоимость'!E53*(1+'мойки для партнеров'!$S$2),100)</f>
        <v>11400</v>
      </c>
      <c r="F53" s="1">
        <f>CEILING('мойки себестоимость'!F53*(1+'мойки для партнеров'!$S$2),100)</f>
        <v>11400</v>
      </c>
      <c r="G53" s="1">
        <f>CEILING('мойки себестоимость'!G53*(1+'мойки для партнеров'!$S$2),100)</f>
        <v>11400</v>
      </c>
      <c r="H53" s="1">
        <f>CEILING('мойки себестоимость'!H53*(1+'мойки для партнеров'!$S$2),100)</f>
        <v>22600</v>
      </c>
      <c r="I53" s="1">
        <f>CEILING('мойки себестоимость'!I53*(1+'мойки для партнеров'!$S$2),100)</f>
        <v>22700</v>
      </c>
      <c r="J53" s="1">
        <f>CEILING('мойки себестоимость'!J53*(1+'мойки для партнеров'!$S$2),100)</f>
        <v>22700</v>
      </c>
      <c r="K53" s="1">
        <f>CEILING('мойки себестоимость'!K53*(1+'мойки для партнеров'!$S$2),100)</f>
        <v>22600</v>
      </c>
      <c r="L53" s="1">
        <f>CEILING('мойки себестоимость'!L53*(1+'мойки для партнеров'!$S$2),100)</f>
        <v>22800</v>
      </c>
      <c r="M53" s="1">
        <f>CEILING('мойки себестоимость'!M53*(1+'мойки для партнеров'!$S$2),100)</f>
        <v>11100</v>
      </c>
      <c r="N53" s="1">
        <f>CEILING('мойки себестоимость'!N53*(1+'мойки для партнеров'!$S$2),100)</f>
        <v>11100</v>
      </c>
      <c r="O53" s="1">
        <f>CEILING('мойки себестоимость'!O53*(1+'мойки для партнеров'!$S$2),100)</f>
        <v>11100</v>
      </c>
      <c r="P53" s="28">
        <v>0</v>
      </c>
    </row>
    <row r="54" spans="1:16" x14ac:dyDescent="0.25">
      <c r="A54" s="36" t="s">
        <v>158</v>
      </c>
      <c r="B54" s="1">
        <f>CEILING('мойки себестоимость'!B54*(1+'мойки для партнеров'!$S$2),100)</f>
        <v>11000</v>
      </c>
      <c r="C54" s="1">
        <f>CEILING('мойки себестоимость'!C54*(1+'мойки для партнеров'!$S$2),100)</f>
        <v>11000</v>
      </c>
      <c r="D54" s="1">
        <f>CEILING('мойки себестоимость'!D54*(1+'мойки для партнеров'!$S$2),100)</f>
        <v>11000</v>
      </c>
      <c r="E54" s="1">
        <f>CEILING('мойки себестоимость'!E54*(1+'мойки для партнеров'!$S$2),100)</f>
        <v>11100</v>
      </c>
      <c r="F54" s="1">
        <f>CEILING('мойки себестоимость'!F54*(1+'мойки для партнеров'!$S$2),100)</f>
        <v>11100</v>
      </c>
      <c r="G54" s="1">
        <f>CEILING('мойки себестоимость'!G54*(1+'мойки для партнеров'!$S$2),100)</f>
        <v>11100</v>
      </c>
      <c r="H54" s="1">
        <f>CEILING('мойки себестоимость'!H54*(1+'мойки для партнеров'!$S$2),100)</f>
        <v>22100</v>
      </c>
      <c r="I54" s="1">
        <f>CEILING('мойки себестоимость'!I54*(1+'мойки для партнеров'!$S$2),100)</f>
        <v>22100</v>
      </c>
      <c r="J54" s="1">
        <f>CEILING('мойки себестоимость'!J54*(1+'мойки для партнеров'!$S$2),100)</f>
        <v>22100</v>
      </c>
      <c r="K54" s="1">
        <f>CEILING('мойки себестоимость'!K54*(1+'мойки для партнеров'!$S$2),100)</f>
        <v>22000</v>
      </c>
      <c r="L54" s="1">
        <f>CEILING('мойки себестоимость'!L54*(1+'мойки для партнеров'!$S$2),100)</f>
        <v>22200</v>
      </c>
      <c r="M54" s="1">
        <f>CEILING('мойки себестоимость'!M54*(1+'мойки для партнеров'!$S$2),100)</f>
        <v>10900</v>
      </c>
      <c r="N54" s="1">
        <f>CEILING('мойки себестоимость'!N54*(1+'мойки для партнеров'!$S$2),100)</f>
        <v>10900</v>
      </c>
      <c r="O54" s="1">
        <f>CEILING('мойки себестоимость'!O54*(1+'мойки для партнеров'!$S$2),100)</f>
        <v>10900</v>
      </c>
      <c r="P54" s="28">
        <v>0</v>
      </c>
    </row>
    <row r="55" spans="1:16" x14ac:dyDescent="0.25">
      <c r="A55" s="36" t="s">
        <v>159</v>
      </c>
      <c r="B55" s="1">
        <f>CEILING('мойки себестоимость'!B55*(1+'мойки для партнеров'!$S$2),100)</f>
        <v>11000</v>
      </c>
      <c r="C55" s="1">
        <f>CEILING('мойки себестоимость'!C55*(1+'мойки для партнеров'!$S$2),100)</f>
        <v>11000</v>
      </c>
      <c r="D55" s="1">
        <f>CEILING('мойки себестоимость'!D55*(1+'мойки для партнеров'!$S$2),100)</f>
        <v>11000</v>
      </c>
      <c r="E55" s="1">
        <f>CEILING('мойки себестоимость'!E55*(1+'мойки для партнеров'!$S$2),100)</f>
        <v>11100</v>
      </c>
      <c r="F55" s="1">
        <f>CEILING('мойки себестоимость'!F55*(1+'мойки для партнеров'!$S$2),100)</f>
        <v>11100</v>
      </c>
      <c r="G55" s="1">
        <f>CEILING('мойки себестоимость'!G55*(1+'мойки для партнеров'!$S$2),100)</f>
        <v>11100</v>
      </c>
      <c r="H55" s="1">
        <f>CEILING('мойки себестоимость'!H55*(1+'мойки для партнеров'!$S$2),100)</f>
        <v>22100</v>
      </c>
      <c r="I55" s="1">
        <f>CEILING('мойки себестоимость'!I55*(1+'мойки для партнеров'!$S$2),100)</f>
        <v>22100</v>
      </c>
      <c r="J55" s="1">
        <f>CEILING('мойки себестоимость'!J55*(1+'мойки для партнеров'!$S$2),100)</f>
        <v>22100</v>
      </c>
      <c r="K55" s="1">
        <f>CEILING('мойки себестоимость'!K55*(1+'мойки для партнеров'!$S$2),100)</f>
        <v>22000</v>
      </c>
      <c r="L55" s="1">
        <f>CEILING('мойки себестоимость'!L55*(1+'мойки для партнеров'!$S$2),100)</f>
        <v>22200</v>
      </c>
      <c r="M55" s="1">
        <f>CEILING('мойки себестоимость'!M55*(1+'мойки для партнеров'!$S$2),100)</f>
        <v>10900</v>
      </c>
      <c r="N55" s="1">
        <f>CEILING('мойки себестоимость'!N55*(1+'мойки для партнеров'!$S$2),100)</f>
        <v>10900</v>
      </c>
      <c r="O55" s="1">
        <f>CEILING('мойки себестоимость'!O55*(1+'мойки для партнеров'!$S$2),100)</f>
        <v>10900</v>
      </c>
      <c r="P55" s="28">
        <v>0</v>
      </c>
    </row>
    <row r="56" spans="1:16" x14ac:dyDescent="0.25">
      <c r="A56" s="36" t="s">
        <v>160</v>
      </c>
      <c r="B56" s="1">
        <f>CEILING('мойки себестоимость'!B56*(1+'мойки для партнеров'!$S$2),100)</f>
        <v>11000</v>
      </c>
      <c r="C56" s="1">
        <f>CEILING('мойки себестоимость'!C56*(1+'мойки для партнеров'!$S$2),100)</f>
        <v>11000</v>
      </c>
      <c r="D56" s="1">
        <f>CEILING('мойки себестоимость'!D56*(1+'мойки для партнеров'!$S$2),100)</f>
        <v>11100</v>
      </c>
      <c r="E56" s="1">
        <f>CEILING('мойки себестоимость'!E56*(1+'мойки для партнеров'!$S$2),100)</f>
        <v>11100</v>
      </c>
      <c r="F56" s="1">
        <f>CEILING('мойки себестоимость'!F56*(1+'мойки для партнеров'!$S$2),100)</f>
        <v>11200</v>
      </c>
      <c r="G56" s="1">
        <f>CEILING('мойки себестоимость'!G56*(1+'мойки для партнеров'!$S$2),100)</f>
        <v>11100</v>
      </c>
      <c r="H56" s="1">
        <f>CEILING('мойки себестоимость'!H56*(1+'мойки для партнеров'!$S$2),100)</f>
        <v>22100</v>
      </c>
      <c r="I56" s="1">
        <f>CEILING('мойки себестоимость'!I56*(1+'мойки для партнеров'!$S$2),100)</f>
        <v>22200</v>
      </c>
      <c r="J56" s="1">
        <f>CEILING('мойки себестоимость'!J56*(1+'мойки для партнеров'!$S$2),100)</f>
        <v>22200</v>
      </c>
      <c r="K56" s="1">
        <f>CEILING('мойки себестоимость'!K56*(1+'мойки для партнеров'!$S$2),100)</f>
        <v>22100</v>
      </c>
      <c r="L56" s="1">
        <f>CEILING('мойки себестоимость'!L56*(1+'мойки для партнеров'!$S$2),100)</f>
        <v>22300</v>
      </c>
      <c r="M56" s="1">
        <f>CEILING('мойки себестоимость'!M56*(1+'мойки для партнеров'!$S$2),100)</f>
        <v>10900</v>
      </c>
      <c r="N56" s="1">
        <f>CEILING('мойки себестоимость'!N56*(1+'мойки для партнеров'!$S$2),100)</f>
        <v>10900</v>
      </c>
      <c r="O56" s="1">
        <f>CEILING('мойки себестоимость'!O56*(1+'мойки для партнеров'!$S$2),100)</f>
        <v>10900</v>
      </c>
      <c r="P56" s="28">
        <v>0</v>
      </c>
    </row>
    <row r="57" spans="1:16" x14ac:dyDescent="0.25">
      <c r="A57" s="36" t="s">
        <v>161</v>
      </c>
      <c r="B57" s="1">
        <f>CEILING('мойки себестоимость'!B57*(1+'мойки для партнеров'!$S$2),100)</f>
        <v>11000</v>
      </c>
      <c r="C57" s="1">
        <f>CEILING('мойки себестоимость'!C57*(1+'мойки для партнеров'!$S$2),100)</f>
        <v>11000</v>
      </c>
      <c r="D57" s="1">
        <f>CEILING('мойки себестоимость'!D57*(1+'мойки для партнеров'!$S$2),100)</f>
        <v>11100</v>
      </c>
      <c r="E57" s="1">
        <f>CEILING('мойки себестоимость'!E57*(1+'мойки для партнеров'!$S$2),100)</f>
        <v>11100</v>
      </c>
      <c r="F57" s="1">
        <f>CEILING('мойки себестоимость'!F57*(1+'мойки для партнеров'!$S$2),100)</f>
        <v>11200</v>
      </c>
      <c r="G57" s="1">
        <f>CEILING('мойки себестоимость'!G57*(1+'мойки для партнеров'!$S$2),100)</f>
        <v>11100</v>
      </c>
      <c r="H57" s="1">
        <f>CEILING('мойки себестоимость'!H57*(1+'мойки для партнеров'!$S$2),100)</f>
        <v>22200</v>
      </c>
      <c r="I57" s="1">
        <f>CEILING('мойки себестоимость'!I57*(1+'мойки для партнеров'!$S$2),100)</f>
        <v>22200</v>
      </c>
      <c r="J57" s="1">
        <f>CEILING('мойки себестоимость'!J57*(1+'мойки для партнеров'!$S$2),100)</f>
        <v>22200</v>
      </c>
      <c r="K57" s="1">
        <f>CEILING('мойки себестоимость'!K57*(1+'мойки для партнеров'!$S$2),100)</f>
        <v>22100</v>
      </c>
      <c r="L57" s="1">
        <f>CEILING('мойки себестоимость'!L57*(1+'мойки для партнеров'!$S$2),100)</f>
        <v>22300</v>
      </c>
      <c r="M57" s="1">
        <f>CEILING('мойки себестоимость'!M57*(1+'мойки для партнеров'!$S$2),100)</f>
        <v>10900</v>
      </c>
      <c r="N57" s="1">
        <f>CEILING('мойки себестоимость'!N57*(1+'мойки для партнеров'!$S$2),100)</f>
        <v>10900</v>
      </c>
      <c r="O57" s="1">
        <f>CEILING('мойки себестоимость'!O57*(1+'мойки для партнеров'!$S$2),100)</f>
        <v>10900</v>
      </c>
      <c r="P57" s="28">
        <v>0</v>
      </c>
    </row>
    <row r="58" spans="1:16" x14ac:dyDescent="0.25">
      <c r="A58" s="36" t="s">
        <v>162</v>
      </c>
      <c r="B58" s="1">
        <f>CEILING('мойки себестоимость'!B58*(1+'мойки для партнеров'!$S$2),100)</f>
        <v>11000</v>
      </c>
      <c r="C58" s="1">
        <f>CEILING('мойки себестоимость'!C58*(1+'мойки для партнеров'!$S$2),100)</f>
        <v>11000</v>
      </c>
      <c r="D58" s="1">
        <f>CEILING('мойки себестоимость'!D58*(1+'мойки для партнеров'!$S$2),100)</f>
        <v>11100</v>
      </c>
      <c r="E58" s="1">
        <f>CEILING('мойки себестоимость'!E58*(1+'мойки для партнеров'!$S$2),100)</f>
        <v>11100</v>
      </c>
      <c r="F58" s="1">
        <f>CEILING('мойки себестоимость'!F58*(1+'мойки для партнеров'!$S$2),100)</f>
        <v>11200</v>
      </c>
      <c r="G58" s="1">
        <f>CEILING('мойки себестоимость'!G58*(1+'мойки для партнеров'!$S$2),100)</f>
        <v>11100</v>
      </c>
      <c r="H58" s="1">
        <f>CEILING('мойки себестоимость'!H58*(1+'мойки для партнеров'!$S$2),100)</f>
        <v>22200</v>
      </c>
      <c r="I58" s="1">
        <f>CEILING('мойки себестоимость'!I58*(1+'мойки для партнеров'!$S$2),100)</f>
        <v>22200</v>
      </c>
      <c r="J58" s="1">
        <f>CEILING('мойки себестоимость'!J58*(1+'мойки для партнеров'!$S$2),100)</f>
        <v>22200</v>
      </c>
      <c r="K58" s="1">
        <f>CEILING('мойки себестоимость'!K58*(1+'мойки для партнеров'!$S$2),100)</f>
        <v>22100</v>
      </c>
      <c r="L58" s="1">
        <f>CEILING('мойки себестоимость'!L58*(1+'мойки для партнеров'!$S$2),100)</f>
        <v>22300</v>
      </c>
      <c r="M58" s="1">
        <f>CEILING('мойки себестоимость'!M58*(1+'мойки для партнеров'!$S$2),100)</f>
        <v>10900</v>
      </c>
      <c r="N58" s="1">
        <f>CEILING('мойки себестоимость'!N58*(1+'мойки для партнеров'!$S$2),100)</f>
        <v>10900</v>
      </c>
      <c r="O58" s="1">
        <f>CEILING('мойки себестоимость'!O58*(1+'мойки для партнеров'!$S$2),100)</f>
        <v>10900</v>
      </c>
      <c r="P58" s="28">
        <v>0</v>
      </c>
    </row>
    <row r="59" spans="1:16" x14ac:dyDescent="0.25">
      <c r="A59" s="36" t="s">
        <v>163</v>
      </c>
      <c r="B59" s="1">
        <f>CEILING('мойки себестоимость'!B59*(1+'мойки для партнеров'!$S$2),100)</f>
        <v>11000</v>
      </c>
      <c r="C59" s="1">
        <f>CEILING('мойки себестоимость'!C59*(1+'мойки для партнеров'!$S$2),100)</f>
        <v>11000</v>
      </c>
      <c r="D59" s="1">
        <f>CEILING('мойки себестоимость'!D59*(1+'мойки для партнеров'!$S$2),100)</f>
        <v>11100</v>
      </c>
      <c r="E59" s="1">
        <f>CEILING('мойки себестоимость'!E59*(1+'мойки для партнеров'!$S$2),100)</f>
        <v>11100</v>
      </c>
      <c r="F59" s="1">
        <f>CEILING('мойки себестоимость'!F59*(1+'мойки для партнеров'!$S$2),100)</f>
        <v>11200</v>
      </c>
      <c r="G59" s="1">
        <f>CEILING('мойки себестоимость'!G59*(1+'мойки для партнеров'!$S$2),100)</f>
        <v>11100</v>
      </c>
      <c r="H59" s="1">
        <f>CEILING('мойки себестоимость'!H59*(1+'мойки для партнеров'!$S$2),100)</f>
        <v>22100</v>
      </c>
      <c r="I59" s="1">
        <f>CEILING('мойки себестоимость'!I59*(1+'мойки для партнеров'!$S$2),100)</f>
        <v>22200</v>
      </c>
      <c r="J59" s="1">
        <f>CEILING('мойки себестоимость'!J59*(1+'мойки для партнеров'!$S$2),100)</f>
        <v>22200</v>
      </c>
      <c r="K59" s="1">
        <f>CEILING('мойки себестоимость'!K59*(1+'мойки для партнеров'!$S$2),100)</f>
        <v>22100</v>
      </c>
      <c r="L59" s="1">
        <f>CEILING('мойки себестоимость'!L59*(1+'мойки для партнеров'!$S$2),100)</f>
        <v>22300</v>
      </c>
      <c r="M59" s="1">
        <f>CEILING('мойки себестоимость'!M59*(1+'мойки для партнеров'!$S$2),100)</f>
        <v>10900</v>
      </c>
      <c r="N59" s="1">
        <f>CEILING('мойки себестоимость'!N59*(1+'мойки для партнеров'!$S$2),100)</f>
        <v>10900</v>
      </c>
      <c r="O59" s="1">
        <f>CEILING('мойки себестоимость'!O59*(1+'мойки для партнеров'!$S$2),100)</f>
        <v>10900</v>
      </c>
      <c r="P59" s="28">
        <v>0</v>
      </c>
    </row>
    <row r="60" spans="1:16" x14ac:dyDescent="0.25">
      <c r="A60" s="36" t="s">
        <v>164</v>
      </c>
      <c r="B60" s="1">
        <f>CEILING('мойки себестоимость'!B60*(1+'мойки для партнеров'!$S$2),100)</f>
        <v>11000</v>
      </c>
      <c r="C60" s="1">
        <f>CEILING('мойки себестоимость'!C60*(1+'мойки для партнеров'!$S$2),100)</f>
        <v>11100</v>
      </c>
      <c r="D60" s="1">
        <f>CEILING('мойки себестоимость'!D60*(1+'мойки для партнеров'!$S$2),100)</f>
        <v>11100</v>
      </c>
      <c r="E60" s="1">
        <f>CEILING('мойки себестоимость'!E60*(1+'мойки для партнеров'!$S$2),100)</f>
        <v>11200</v>
      </c>
      <c r="F60" s="1">
        <f>CEILING('мойки себестоимость'!F60*(1+'мойки для партнеров'!$S$2),100)</f>
        <v>11200</v>
      </c>
      <c r="G60" s="1">
        <f>CEILING('мойки себестоимость'!G60*(1+'мойки для партнеров'!$S$2),100)</f>
        <v>11200</v>
      </c>
      <c r="H60" s="1">
        <f>CEILING('мойки себестоимость'!H60*(1+'мойки для партнеров'!$S$2),100)</f>
        <v>22200</v>
      </c>
      <c r="I60" s="1">
        <f>CEILING('мойки себестоимость'!I60*(1+'мойки для партнеров'!$S$2),100)</f>
        <v>22300</v>
      </c>
      <c r="J60" s="1">
        <f>CEILING('мойки себестоимость'!J60*(1+'мойки для партнеров'!$S$2),100)</f>
        <v>22300</v>
      </c>
      <c r="K60" s="1">
        <f>CEILING('мойки себестоимость'!K60*(1+'мойки для партнеров'!$S$2),100)</f>
        <v>22200</v>
      </c>
      <c r="L60" s="1">
        <f>CEILING('мойки себестоимость'!L60*(1+'мойки для партнеров'!$S$2),100)</f>
        <v>22300</v>
      </c>
      <c r="M60" s="1">
        <f>CEILING('мойки себестоимость'!M60*(1+'мойки для партнеров'!$S$2),100)</f>
        <v>10900</v>
      </c>
      <c r="N60" s="1">
        <f>CEILING('мойки себестоимость'!N60*(1+'мойки для партнеров'!$S$2),100)</f>
        <v>10900</v>
      </c>
      <c r="O60" s="1">
        <f>CEILING('мойки себестоимость'!O60*(1+'мойки для партнеров'!$S$2),100)</f>
        <v>10900</v>
      </c>
      <c r="P60" s="28">
        <v>0</v>
      </c>
    </row>
    <row r="61" spans="1:16" x14ac:dyDescent="0.25">
      <c r="A61" s="37" t="s">
        <v>165</v>
      </c>
      <c r="B61" s="1">
        <f>CEILING('мойки себестоимость'!B61*(1+'мойки для партнеров'!$S$2),100)</f>
        <v>11100</v>
      </c>
      <c r="C61" s="1">
        <f>CEILING('мойки себестоимость'!C61*(1+'мойки для партнеров'!$S$2),100)</f>
        <v>11200</v>
      </c>
      <c r="D61" s="1">
        <f>CEILING('мойки себестоимость'!D61*(1+'мойки для партнеров'!$S$2),100)</f>
        <v>11200</v>
      </c>
      <c r="E61" s="1">
        <f>CEILING('мойки себестоимость'!E61*(1+'мойки для партнеров'!$S$2),100)</f>
        <v>11300</v>
      </c>
      <c r="F61" s="1">
        <f>CEILING('мойки себестоимость'!F61*(1+'мойки для партнеров'!$S$2),100)</f>
        <v>11300</v>
      </c>
      <c r="G61" s="1">
        <f>CEILING('мойки себестоимость'!G61*(1+'мойки для партнеров'!$S$2),100)</f>
        <v>11300</v>
      </c>
      <c r="H61" s="1">
        <f>CEILING('мойки себестоимость'!H61*(1+'мойки для партнеров'!$S$2),100)</f>
        <v>22500</v>
      </c>
      <c r="I61" s="1">
        <f>CEILING('мойки себестоимость'!I61*(1+'мойки для партнеров'!$S$2),100)</f>
        <v>22500</v>
      </c>
      <c r="J61" s="1">
        <f>CEILING('мойки себестоимость'!J61*(1+'мойки для партнеров'!$S$2),100)</f>
        <v>22500</v>
      </c>
      <c r="K61" s="1">
        <f>CEILING('мойки себестоимость'!K61*(1+'мойки для партнеров'!$S$2),100)</f>
        <v>22400</v>
      </c>
      <c r="L61" s="1">
        <f>CEILING('мойки себестоимость'!L61*(1+'мойки для партнеров'!$S$2),100)</f>
        <v>22600</v>
      </c>
      <c r="M61" s="1">
        <f>CEILING('мойки себестоимость'!M61*(1+'мойки для партнеров'!$S$2),100)</f>
        <v>11000</v>
      </c>
      <c r="N61" s="1">
        <f>CEILING('мойки себестоимость'!N61*(1+'мойки для партнеров'!$S$2),100)</f>
        <v>11000</v>
      </c>
      <c r="O61" s="1">
        <f>CEILING('мойки себестоимость'!O61*(1+'мойки для партнеров'!$S$2),100)</f>
        <v>11000</v>
      </c>
      <c r="P61" s="28">
        <v>0</v>
      </c>
    </row>
    <row r="62" spans="1:16" x14ac:dyDescent="0.25">
      <c r="A62" s="37" t="s">
        <v>166</v>
      </c>
      <c r="B62" s="1">
        <f>CEILING('мойки себестоимость'!B62*(1+'мойки для партнеров'!$S$2),100)</f>
        <v>11200</v>
      </c>
      <c r="C62" s="1">
        <f>CEILING('мойки себестоимость'!C62*(1+'мойки для партнеров'!$S$2),100)</f>
        <v>11300</v>
      </c>
      <c r="D62" s="1">
        <f>CEILING('мойки себестоимость'!D62*(1+'мойки для партнеров'!$S$2),100)</f>
        <v>11400</v>
      </c>
      <c r="E62" s="1">
        <f>CEILING('мойки себестоимость'!E62*(1+'мойки для партнеров'!$S$2),100)</f>
        <v>11400</v>
      </c>
      <c r="F62" s="1">
        <f>CEILING('мойки себестоимость'!F62*(1+'мойки для партнеров'!$S$2),100)</f>
        <v>11500</v>
      </c>
      <c r="G62" s="1">
        <f>CEILING('мойки себестоимость'!G62*(1+'мойки для партнеров'!$S$2),100)</f>
        <v>11400</v>
      </c>
      <c r="H62" s="1">
        <f>CEILING('мойки себестоимость'!H62*(1+'мойки для партнеров'!$S$2),100)</f>
        <v>22700</v>
      </c>
      <c r="I62" s="1">
        <f>CEILING('мойки себестоимость'!I62*(1+'мойки для партнеров'!$S$2),100)</f>
        <v>22800</v>
      </c>
      <c r="J62" s="1">
        <f>CEILING('мойки себестоимость'!J62*(1+'мойки для партнеров'!$S$2),100)</f>
        <v>22800</v>
      </c>
      <c r="K62" s="1">
        <f>CEILING('мойки себестоимость'!K62*(1+'мойки для партнеров'!$S$2),100)</f>
        <v>22700</v>
      </c>
      <c r="L62" s="1">
        <f>CEILING('мойки себестоимость'!L62*(1+'мойки для партнеров'!$S$2),100)</f>
        <v>22900</v>
      </c>
      <c r="M62" s="1">
        <f>CEILING('мойки себестоимость'!M62*(1+'мойки для партнеров'!$S$2),100)</f>
        <v>11100</v>
      </c>
      <c r="N62" s="1">
        <f>CEILING('мойки себестоимость'!N62*(1+'мойки для партнеров'!$S$2),100)</f>
        <v>11100</v>
      </c>
      <c r="O62" s="1">
        <f>CEILING('мойки себестоимость'!O62*(1+'мойки для партнеров'!$S$2),100)</f>
        <v>11100</v>
      </c>
      <c r="P62" s="28">
        <v>0</v>
      </c>
    </row>
    <row r="63" spans="1:16" x14ac:dyDescent="0.25">
      <c r="A63" s="37" t="s">
        <v>167</v>
      </c>
      <c r="B63" s="1">
        <f>CEILING('мойки себестоимость'!B63*(1+'мойки для партнеров'!$S$2),100)</f>
        <v>11200</v>
      </c>
      <c r="C63" s="1">
        <f>CEILING('мойки себестоимость'!C63*(1+'мойки для партнеров'!$S$2),100)</f>
        <v>11200</v>
      </c>
      <c r="D63" s="1">
        <f>CEILING('мойки себестоимость'!D63*(1+'мойки для партнеров'!$S$2),100)</f>
        <v>11300</v>
      </c>
      <c r="E63" s="1">
        <f>CEILING('мойки себестоимость'!E63*(1+'мойки для партнеров'!$S$2),100)</f>
        <v>11400</v>
      </c>
      <c r="F63" s="1">
        <f>CEILING('мойки себестоимость'!F63*(1+'мойки для партнеров'!$S$2),100)</f>
        <v>11400</v>
      </c>
      <c r="G63" s="1">
        <f>CEILING('мойки себестоимость'!G63*(1+'мойки для партнеров'!$S$2),100)</f>
        <v>11400</v>
      </c>
      <c r="H63" s="1">
        <f>CEILING('мойки себестоимость'!H63*(1+'мойки для партнеров'!$S$2),100)</f>
        <v>22600</v>
      </c>
      <c r="I63" s="1">
        <f>CEILING('мойки себестоимость'!I63*(1+'мойки для партнеров'!$S$2),100)</f>
        <v>22700</v>
      </c>
      <c r="J63" s="1">
        <f>CEILING('мойки себестоимость'!J63*(1+'мойки для партнеров'!$S$2),100)</f>
        <v>22700</v>
      </c>
      <c r="K63" s="1">
        <f>CEILING('мойки себестоимость'!K63*(1+'мойки для партнеров'!$S$2),100)</f>
        <v>22600</v>
      </c>
      <c r="L63" s="1">
        <f>CEILING('мойки себестоимость'!L63*(1+'мойки для партнеров'!$S$2),100)</f>
        <v>22800</v>
      </c>
      <c r="M63" s="1">
        <f>CEILING('мойки себестоимость'!M63*(1+'мойки для партнеров'!$S$2),100)</f>
        <v>11100</v>
      </c>
      <c r="N63" s="1">
        <f>CEILING('мойки себестоимость'!N63*(1+'мойки для партнеров'!$S$2),100)</f>
        <v>11100</v>
      </c>
      <c r="O63" s="1">
        <f>CEILING('мойки себестоимость'!O63*(1+'мойки для партнеров'!$S$2),100)</f>
        <v>11100</v>
      </c>
      <c r="P63" s="28">
        <v>0</v>
      </c>
    </row>
    <row r="64" spans="1:16" x14ac:dyDescent="0.25">
      <c r="A64" s="36" t="s">
        <v>168</v>
      </c>
      <c r="B64" s="1">
        <f>CEILING('мойки себестоимость'!B64*(1+'мойки для партнеров'!$S$2),100)</f>
        <v>11200</v>
      </c>
      <c r="C64" s="1">
        <f>CEILING('мойки себестоимость'!C64*(1+'мойки для партнеров'!$S$2),100)</f>
        <v>11200</v>
      </c>
      <c r="D64" s="1">
        <f>CEILING('мойки себестоимость'!D64*(1+'мойки для партнеров'!$S$2),100)</f>
        <v>11300</v>
      </c>
      <c r="E64" s="1">
        <f>CEILING('мойки себестоимость'!E64*(1+'мойки для партнеров'!$S$2),100)</f>
        <v>11400</v>
      </c>
      <c r="F64" s="1">
        <f>CEILING('мойки себестоимость'!F64*(1+'мойки для партнеров'!$S$2),100)</f>
        <v>11400</v>
      </c>
      <c r="G64" s="1">
        <f>CEILING('мойки себестоимость'!G64*(1+'мойки для партнеров'!$S$2),100)</f>
        <v>11400</v>
      </c>
      <c r="H64" s="1">
        <f>CEILING('мойки себестоимость'!H64*(1+'мойки для партнеров'!$S$2),100)</f>
        <v>22600</v>
      </c>
      <c r="I64" s="1">
        <f>CEILING('мойки себестоимость'!I64*(1+'мойки для партнеров'!$S$2),100)</f>
        <v>22700</v>
      </c>
      <c r="J64" s="1">
        <f>CEILING('мойки себестоимость'!J64*(1+'мойки для партнеров'!$S$2),100)</f>
        <v>22700</v>
      </c>
      <c r="K64" s="1">
        <f>CEILING('мойки себестоимость'!K64*(1+'мойки для партнеров'!$S$2),100)</f>
        <v>22600</v>
      </c>
      <c r="L64" s="1">
        <f>CEILING('мойки себестоимость'!L64*(1+'мойки для партнеров'!$S$2),100)</f>
        <v>22800</v>
      </c>
      <c r="M64" s="1">
        <f>CEILING('мойки себестоимость'!M64*(1+'мойки для партнеров'!$S$2),100)</f>
        <v>11100</v>
      </c>
      <c r="N64" s="1">
        <f>CEILING('мойки себестоимость'!N64*(1+'мойки для партнеров'!$S$2),100)</f>
        <v>11100</v>
      </c>
      <c r="O64" s="1">
        <f>CEILING('мойки себестоимость'!O64*(1+'мойки для партнеров'!$S$2),100)</f>
        <v>11100</v>
      </c>
      <c r="P64" s="28">
        <v>0</v>
      </c>
    </row>
    <row r="65" spans="1:16" x14ac:dyDescent="0.25">
      <c r="A65" s="36" t="s">
        <v>279</v>
      </c>
      <c r="B65" s="1">
        <f>CEILING('мойки себестоимость'!B65*(1+'мойки для партнеров'!$S$2),100)</f>
        <v>11300</v>
      </c>
      <c r="C65" s="1">
        <f>CEILING('мойки себестоимость'!C65*(1+'мойки для партнеров'!$S$2),100)</f>
        <v>11400</v>
      </c>
      <c r="D65" s="1">
        <f>CEILING('мойки себестоимость'!D65*(1+'мойки для партнеров'!$S$2),100)</f>
        <v>11400</v>
      </c>
      <c r="E65" s="1">
        <f>CEILING('мойки себестоимость'!E65*(1+'мойки для партнеров'!$S$2),100)</f>
        <v>11500</v>
      </c>
      <c r="F65" s="1">
        <f>CEILING('мойки себестоимость'!F65*(1+'мойки для партнеров'!$S$2),100)</f>
        <v>11600</v>
      </c>
      <c r="G65" s="1">
        <f>CEILING('мойки себестоимость'!G65*(1+'мойки для партнеров'!$S$2),100)</f>
        <v>11500</v>
      </c>
      <c r="H65" s="1">
        <f>CEILING('мойки себестоимость'!H65*(1+'мойки для партнеров'!$S$2),100)</f>
        <v>22900</v>
      </c>
      <c r="I65" s="1">
        <f>CEILING('мойки себестоимость'!I65*(1+'мойки для партнеров'!$S$2),100)</f>
        <v>23000</v>
      </c>
      <c r="J65" s="1">
        <f>CEILING('мойки себестоимость'!J65*(1+'мойки для партнеров'!$S$2),100)</f>
        <v>23000</v>
      </c>
      <c r="K65" s="1">
        <f>CEILING('мойки себестоимость'!K65*(1+'мойки для партнеров'!$S$2),100)</f>
        <v>22800</v>
      </c>
      <c r="L65" s="1">
        <f>CEILING('мойки себестоимость'!L65*(1+'мойки для партнеров'!$S$2),100)</f>
        <v>23100</v>
      </c>
      <c r="M65" s="1">
        <f>CEILING('мойки себестоимость'!M65*(1+'мойки для партнеров'!$S$2),100)</f>
        <v>11200</v>
      </c>
      <c r="N65" s="1">
        <f>CEILING('мойки себестоимость'!N65*(1+'мойки для партнеров'!$S$2),100)</f>
        <v>11200</v>
      </c>
      <c r="O65" s="1">
        <f>CEILING('мойки себестоимость'!O65*(1+'мойки для партнеров'!$S$2),100)</f>
        <v>11200</v>
      </c>
      <c r="P65" s="28">
        <v>0</v>
      </c>
    </row>
    <row r="66" spans="1:16" x14ac:dyDescent="0.25">
      <c r="A66" s="36" t="s">
        <v>169</v>
      </c>
      <c r="B66" s="1">
        <f>CEILING('мойки себестоимость'!B66*(1+'мойки для партнеров'!$S$2),100)</f>
        <v>11300</v>
      </c>
      <c r="C66" s="1">
        <f>CEILING('мойки себестоимость'!C66*(1+'мойки для партнеров'!$S$2),100)</f>
        <v>11400</v>
      </c>
      <c r="D66" s="1">
        <f>CEILING('мойки себестоимость'!D66*(1+'мойки для партнеров'!$S$2),100)</f>
        <v>11500</v>
      </c>
      <c r="E66" s="1">
        <f>CEILING('мойки себестоимость'!E66*(1+'мойки для партнеров'!$S$2),100)</f>
        <v>11500</v>
      </c>
      <c r="F66" s="1">
        <f>CEILING('мойки себестоимость'!F66*(1+'мойки для партнеров'!$S$2),100)</f>
        <v>11600</v>
      </c>
      <c r="G66" s="1">
        <f>CEILING('мойки себестоимость'!G66*(1+'мойки для партнеров'!$S$2),100)</f>
        <v>11500</v>
      </c>
      <c r="H66" s="1">
        <f>CEILING('мойки себестоимость'!H66*(1+'мойки для партнеров'!$S$2),100)</f>
        <v>22900</v>
      </c>
      <c r="I66" s="1">
        <f>CEILING('мойки себестоимость'!I66*(1+'мойки для партнеров'!$S$2),100)</f>
        <v>23000</v>
      </c>
      <c r="J66" s="1">
        <f>CEILING('мойки себестоимость'!J66*(1+'мойки для партнеров'!$S$2),100)</f>
        <v>23000</v>
      </c>
      <c r="K66" s="1">
        <f>CEILING('мойки себестоимость'!K66*(1+'мойки для партнеров'!$S$2),100)</f>
        <v>22900</v>
      </c>
      <c r="L66" s="1">
        <f>CEILING('мойки себестоимость'!L66*(1+'мойки для партнеров'!$S$2),100)</f>
        <v>23200</v>
      </c>
      <c r="M66" s="1">
        <f>CEILING('мойки себестоимость'!M66*(1+'мойки для партнеров'!$S$2),100)</f>
        <v>11200</v>
      </c>
      <c r="N66" s="1">
        <f>CEILING('мойки себестоимость'!N66*(1+'мойки для партнеров'!$S$2),100)</f>
        <v>11200</v>
      </c>
      <c r="O66" s="1">
        <f>CEILING('мойки себестоимость'!O66*(1+'мойки для партнеров'!$S$2),100)</f>
        <v>11200</v>
      </c>
      <c r="P66" s="28">
        <v>0</v>
      </c>
    </row>
    <row r="67" spans="1:16" x14ac:dyDescent="0.25">
      <c r="A67" s="37" t="s">
        <v>170</v>
      </c>
      <c r="B67" s="1">
        <f>CEILING('мойки себестоимость'!B67*(1+'мойки для партнеров'!$S$2),100)</f>
        <v>11000</v>
      </c>
      <c r="C67" s="1">
        <f>CEILING('мойки себестоимость'!C67*(1+'мойки для партнеров'!$S$2),100)</f>
        <v>11000</v>
      </c>
      <c r="D67" s="1">
        <f>CEILING('мойки себестоимость'!D67*(1+'мойки для партнеров'!$S$2),100)</f>
        <v>11100</v>
      </c>
      <c r="E67" s="1">
        <f>CEILING('мойки себестоимость'!E67*(1+'мойки для партнеров'!$S$2),100)</f>
        <v>11100</v>
      </c>
      <c r="F67" s="1">
        <f>CEILING('мойки себестоимость'!F67*(1+'мойки для партнеров'!$S$2),100)</f>
        <v>11100</v>
      </c>
      <c r="G67" s="1">
        <f>CEILING('мойки себестоимость'!G67*(1+'мойки для партнеров'!$S$2),100)</f>
        <v>11100</v>
      </c>
      <c r="H67" s="1">
        <f>CEILING('мойки себестоимость'!H67*(1+'мойки для партнеров'!$S$2),100)</f>
        <v>22100</v>
      </c>
      <c r="I67" s="1">
        <f>CEILING('мойки себестоимость'!I67*(1+'мойки для партнеров'!$S$2),100)</f>
        <v>22100</v>
      </c>
      <c r="J67" s="1">
        <f>CEILING('мойки себестоимость'!J67*(1+'мойки для партнеров'!$S$2),100)</f>
        <v>22100</v>
      </c>
      <c r="K67" s="1">
        <f>CEILING('мойки себестоимость'!K67*(1+'мойки для партнеров'!$S$2),100)</f>
        <v>22100</v>
      </c>
      <c r="L67" s="1">
        <f>CEILING('мойки себестоимость'!L67*(1+'мойки для партнеров'!$S$2),100)</f>
        <v>22200</v>
      </c>
      <c r="M67" s="1">
        <f>CEILING('мойки себестоимость'!M67*(1+'мойки для партнеров'!$S$2),100)</f>
        <v>10900</v>
      </c>
      <c r="N67" s="1">
        <f>CEILING('мойки себестоимость'!N67*(1+'мойки для партнеров'!$S$2),100)</f>
        <v>10900</v>
      </c>
      <c r="O67" s="1">
        <f>CEILING('мойки себестоимость'!O67*(1+'мойки для партнеров'!$S$2),100)</f>
        <v>10900</v>
      </c>
      <c r="P67" s="28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67"/>
  <sheetViews>
    <sheetView topLeftCell="A44" workbookViewId="0">
      <selection activeCell="J56" sqref="J56"/>
    </sheetView>
  </sheetViews>
  <sheetFormatPr defaultColWidth="8.85546875" defaultRowHeight="15" x14ac:dyDescent="0.25"/>
  <cols>
    <col min="1" max="1" width="29" style="52" customWidth="1"/>
    <col min="2" max="15" width="7.28515625" style="52" customWidth="1"/>
    <col min="16" max="16" width="7.140625" style="52" customWidth="1"/>
    <col min="17" max="16384" width="8.85546875" style="52"/>
  </cols>
  <sheetData>
    <row r="1" spans="1:19" ht="101.25" customHeight="1" x14ac:dyDescent="0.25">
      <c r="A1" s="1"/>
      <c r="B1" s="55" t="s">
        <v>86</v>
      </c>
      <c r="C1" s="55" t="s">
        <v>87</v>
      </c>
      <c r="D1" s="55" t="s">
        <v>88</v>
      </c>
      <c r="E1" s="55" t="s">
        <v>89</v>
      </c>
      <c r="F1" s="55" t="s">
        <v>90</v>
      </c>
      <c r="G1" s="55" t="s">
        <v>91</v>
      </c>
      <c r="H1" s="55" t="s">
        <v>92</v>
      </c>
      <c r="I1" s="55" t="s">
        <v>93</v>
      </c>
      <c r="J1" s="55" t="s">
        <v>94</v>
      </c>
      <c r="K1" s="55" t="s">
        <v>95</v>
      </c>
      <c r="L1" s="55" t="s">
        <v>96</v>
      </c>
      <c r="M1" s="55" t="s">
        <v>97</v>
      </c>
      <c r="N1" s="55" t="s">
        <v>98</v>
      </c>
      <c r="O1" s="55" t="s">
        <v>99</v>
      </c>
      <c r="P1" s="55" t="s">
        <v>100</v>
      </c>
    </row>
    <row r="2" spans="1:19" x14ac:dyDescent="0.25">
      <c r="A2" s="1" t="s">
        <v>10</v>
      </c>
      <c r="B2" s="1">
        <f>CEILING('мойки для партнеров'!B2*(1+'мойки с накруткой'!$S$2),100)</f>
        <v>11100</v>
      </c>
      <c r="C2" s="1">
        <f>CEILING('мойки для партнеров'!C2*(1+'мойки с накруткой'!$S$2),100)</f>
        <v>11100</v>
      </c>
      <c r="D2" s="1">
        <f>CEILING('мойки для партнеров'!D2*(1+'мойки с накруткой'!$S$2),100)</f>
        <v>11200</v>
      </c>
      <c r="E2" s="1">
        <f>CEILING('мойки для партнеров'!E2*(1+'мойки с накруткой'!$S$2),100)</f>
        <v>11200</v>
      </c>
      <c r="F2" s="1">
        <f>CEILING('мойки для партнеров'!F2*(1+'мойки с накруткой'!$S$2),100)</f>
        <v>11300</v>
      </c>
      <c r="G2" s="1">
        <f>CEILING('мойки для партнеров'!G2*(1+'мойки с накруткой'!$S$2),100)</f>
        <v>11200</v>
      </c>
      <c r="H2" s="1">
        <f>CEILING('мойки для партнеров'!H2*(1+'мойки с накруткой'!$S$2),100)</f>
        <v>22400</v>
      </c>
      <c r="I2" s="1">
        <f>CEILING('мойки для партнеров'!I2*(1+'мойки с накруткой'!$S$2),100)</f>
        <v>22400</v>
      </c>
      <c r="J2" s="1">
        <f>CEILING('мойки для партнеров'!J2*(1+'мойки с накруткой'!$S$2),100)</f>
        <v>22400</v>
      </c>
      <c r="K2" s="1">
        <f>CEILING('мойки для партнеров'!K2*(1+'мойки с накруткой'!$S$2),100)</f>
        <v>22300</v>
      </c>
      <c r="L2" s="1">
        <f>CEILING('мойки для партнеров'!L2*(1+'мойки с накруткой'!$S$2),100)</f>
        <v>22500</v>
      </c>
      <c r="M2" s="1">
        <f>CEILING('мойки для партнеров'!M2*(1+'мойки с накруткой'!$S$2),100)</f>
        <v>11000</v>
      </c>
      <c r="N2" s="1">
        <f>CEILING('мойки для партнеров'!N2*(1+'мойки с накруткой'!$S$2),100)</f>
        <v>11000</v>
      </c>
      <c r="O2" s="1">
        <f>CEILING('мойки для партнеров'!O2*(1+'мойки с накруткой'!$S$2),100)</f>
        <v>11000</v>
      </c>
      <c r="P2" s="28">
        <v>0</v>
      </c>
      <c r="R2" s="52" t="s">
        <v>85</v>
      </c>
      <c r="S2" s="56">
        <f>sys!C3</f>
        <v>0</v>
      </c>
    </row>
    <row r="3" spans="1:19" x14ac:dyDescent="0.25">
      <c r="A3" s="1" t="s">
        <v>11</v>
      </c>
      <c r="B3" s="1">
        <f>CEILING('мойки для партнеров'!B3*(1+'мойки с накруткой'!$S$2),100)</f>
        <v>11200</v>
      </c>
      <c r="C3" s="1">
        <f>CEILING('мойки для партнеров'!C3*(1+'мойки с накруткой'!$S$2),100)</f>
        <v>11200</v>
      </c>
      <c r="D3" s="1">
        <f>CEILING('мойки для партнеров'!D3*(1+'мойки с накруткой'!$S$2),100)</f>
        <v>11300</v>
      </c>
      <c r="E3" s="1">
        <f>CEILING('мойки для партнеров'!E3*(1+'мойки с накруткой'!$S$2),100)</f>
        <v>11300</v>
      </c>
      <c r="F3" s="1">
        <f>CEILING('мойки для партнеров'!F3*(1+'мойки с накруткой'!$S$2),100)</f>
        <v>11400</v>
      </c>
      <c r="G3" s="1">
        <f>CEILING('мойки для партнеров'!G3*(1+'мойки с накруткой'!$S$2),100)</f>
        <v>11300</v>
      </c>
      <c r="H3" s="1">
        <f>CEILING('мойки для партнеров'!H3*(1+'мойки с накруткой'!$S$2),100)</f>
        <v>22600</v>
      </c>
      <c r="I3" s="1">
        <f>CEILING('мойки для партнеров'!I3*(1+'мойки с накруткой'!$S$2),100)</f>
        <v>22600</v>
      </c>
      <c r="J3" s="1">
        <f>CEILING('мойки для партнеров'!J3*(1+'мойки с накруткой'!$S$2),100)</f>
        <v>22600</v>
      </c>
      <c r="K3" s="1">
        <f>CEILING('мойки для партнеров'!K3*(1+'мойки с накруткой'!$S$2),100)</f>
        <v>22500</v>
      </c>
      <c r="L3" s="1">
        <f>CEILING('мойки для партнеров'!L3*(1+'мойки с накруткой'!$S$2),100)</f>
        <v>22700</v>
      </c>
      <c r="M3" s="1">
        <f>CEILING('мойки для партнеров'!M3*(1+'мойки с накруткой'!$S$2),100)</f>
        <v>11100</v>
      </c>
      <c r="N3" s="1">
        <f>CEILING('мойки для партнеров'!N3*(1+'мойки с накруткой'!$S$2),100)</f>
        <v>11100</v>
      </c>
      <c r="O3" s="1">
        <f>CEILING('мойки для партнеров'!O3*(1+'мойки с накруткой'!$S$2),100)</f>
        <v>11100</v>
      </c>
      <c r="P3" s="28">
        <v>0</v>
      </c>
    </row>
    <row r="4" spans="1:19" x14ac:dyDescent="0.25">
      <c r="A4" s="1" t="s">
        <v>12</v>
      </c>
      <c r="B4" s="1">
        <f>CEILING('мойки для партнеров'!B4*(1+'мойки с накруткой'!$S$2),100)</f>
        <v>11200</v>
      </c>
      <c r="C4" s="1">
        <f>CEILING('мойки для партнеров'!C4*(1+'мойки с накруткой'!$S$2),100)</f>
        <v>11300</v>
      </c>
      <c r="D4" s="1">
        <f>CEILING('мойки для партнеров'!D4*(1+'мойки с накруткой'!$S$2),100)</f>
        <v>11300</v>
      </c>
      <c r="E4" s="1">
        <f>CEILING('мойки для партнеров'!E4*(1+'мойки с накруткой'!$S$2),100)</f>
        <v>11400</v>
      </c>
      <c r="F4" s="1">
        <f>CEILING('мойки для партнеров'!F4*(1+'мойки с накруткой'!$S$2),100)</f>
        <v>11500</v>
      </c>
      <c r="G4" s="1">
        <f>CEILING('мойки для партнеров'!G4*(1+'мойки с накруткой'!$S$2),100)</f>
        <v>11400</v>
      </c>
      <c r="H4" s="1">
        <f>CEILING('мойки для партнеров'!H4*(1+'мойки с накруткой'!$S$2),100)</f>
        <v>22700</v>
      </c>
      <c r="I4" s="1">
        <f>CEILING('мойки для партнеров'!I4*(1+'мойки с накруткой'!$S$2),100)</f>
        <v>22800</v>
      </c>
      <c r="J4" s="1">
        <f>CEILING('мойки для партнеров'!J4*(1+'мойки с накруткой'!$S$2),100)</f>
        <v>22800</v>
      </c>
      <c r="K4" s="1">
        <f>CEILING('мойки для партнеров'!K4*(1+'мойки с накруткой'!$S$2),100)</f>
        <v>22600</v>
      </c>
      <c r="L4" s="1">
        <f>CEILING('мойки для партнеров'!L4*(1+'мойки с накруткой'!$S$2),100)</f>
        <v>22900</v>
      </c>
      <c r="M4" s="1">
        <f>CEILING('мойки для партнеров'!M4*(1+'мойки с накруткой'!$S$2),100)</f>
        <v>11100</v>
      </c>
      <c r="N4" s="1">
        <f>CEILING('мойки для партнеров'!N4*(1+'мойки с накруткой'!$S$2),100)</f>
        <v>11100</v>
      </c>
      <c r="O4" s="1">
        <f>CEILING('мойки для партнеров'!O4*(1+'мойки с накруткой'!$S$2),100)</f>
        <v>11100</v>
      </c>
      <c r="P4" s="28">
        <v>0</v>
      </c>
    </row>
    <row r="5" spans="1:19" x14ac:dyDescent="0.25">
      <c r="A5" s="1" t="s">
        <v>13</v>
      </c>
      <c r="B5" s="1">
        <f>CEILING('мойки для партнеров'!B5*(1+'мойки с накруткой'!$S$2),100)</f>
        <v>11300</v>
      </c>
      <c r="C5" s="1">
        <f>CEILING('мойки для партнеров'!C5*(1+'мойки с накруткой'!$S$2),100)</f>
        <v>11400</v>
      </c>
      <c r="D5" s="1">
        <f>CEILING('мойки для партнеров'!D5*(1+'мойки с накруткой'!$S$2),100)</f>
        <v>11400</v>
      </c>
      <c r="E5" s="1">
        <f>CEILING('мойки для партнеров'!E5*(1+'мойки с накруткой'!$S$2),100)</f>
        <v>11500</v>
      </c>
      <c r="F5" s="1">
        <f>CEILING('мойки для партнеров'!F5*(1+'мойки с накруткой'!$S$2),100)</f>
        <v>11600</v>
      </c>
      <c r="G5" s="1">
        <f>CEILING('мойки для партнеров'!G5*(1+'мойки с накруткой'!$S$2),100)</f>
        <v>11500</v>
      </c>
      <c r="H5" s="1">
        <f>CEILING('мойки для партнеров'!H5*(1+'мойки с накруткой'!$S$2),100)</f>
        <v>22900</v>
      </c>
      <c r="I5" s="1">
        <f>CEILING('мойки для партнеров'!I5*(1+'мойки с накруткой'!$S$2),100)</f>
        <v>22900</v>
      </c>
      <c r="J5" s="1">
        <f>CEILING('мойки для партнеров'!J5*(1+'мойки с накруткой'!$S$2),100)</f>
        <v>22900</v>
      </c>
      <c r="K5" s="1">
        <f>CEILING('мойки для партнеров'!K5*(1+'мойки с накруткой'!$S$2),100)</f>
        <v>22800</v>
      </c>
      <c r="L5" s="1">
        <f>CEILING('мойки для партнеров'!L5*(1+'мойки с накруткой'!$S$2),100)</f>
        <v>23100</v>
      </c>
      <c r="M5" s="1">
        <f>CEILING('мойки для партнеров'!M5*(1+'мойки с накруткой'!$S$2),100)</f>
        <v>11200</v>
      </c>
      <c r="N5" s="1">
        <f>CEILING('мойки для партнеров'!N5*(1+'мойки с накруткой'!$S$2),100)</f>
        <v>11200</v>
      </c>
      <c r="O5" s="1">
        <f>CEILING('мойки для партнеров'!O5*(1+'мойки с накруткой'!$S$2),100)</f>
        <v>11200</v>
      </c>
      <c r="P5" s="28">
        <v>0</v>
      </c>
    </row>
    <row r="6" spans="1:19" x14ac:dyDescent="0.25">
      <c r="A6" s="6" t="s">
        <v>151</v>
      </c>
      <c r="B6" s="1">
        <f>CEILING('мойки для партнеров'!B6*(1+'мойки с накруткой'!$S$2),100)</f>
        <v>11100</v>
      </c>
      <c r="C6" s="1">
        <f>CEILING('мойки для партнеров'!C6*(1+'мойки с накруткой'!$S$2),100)</f>
        <v>11100</v>
      </c>
      <c r="D6" s="1">
        <f>CEILING('мойки для партнеров'!D6*(1+'мойки с накруткой'!$S$2),100)</f>
        <v>11200</v>
      </c>
      <c r="E6" s="1">
        <f>CEILING('мойки для партнеров'!E6*(1+'мойки с накруткой'!$S$2),100)</f>
        <v>11200</v>
      </c>
      <c r="F6" s="1">
        <f>CEILING('мойки для партнеров'!F6*(1+'мойки с накруткой'!$S$2),100)</f>
        <v>11300</v>
      </c>
      <c r="G6" s="1">
        <f>CEILING('мойки для партнеров'!G6*(1+'мойки с накруткой'!$S$2),100)</f>
        <v>11200</v>
      </c>
      <c r="H6" s="1">
        <f>CEILING('мойки для партнеров'!H6*(1+'мойки с накруткой'!$S$2),100)</f>
        <v>22300</v>
      </c>
      <c r="I6" s="1">
        <f>CEILING('мойки для партнеров'!I6*(1+'мойки с накруткой'!$S$2),100)</f>
        <v>22400</v>
      </c>
      <c r="J6" s="1">
        <f>CEILING('мойки для партнеров'!J6*(1+'мойки с накруткой'!$S$2),100)</f>
        <v>22400</v>
      </c>
      <c r="K6" s="1">
        <f>CEILING('мойки для партнеров'!K6*(1+'мойки с накруткой'!$S$2),100)</f>
        <v>22300</v>
      </c>
      <c r="L6" s="1">
        <f>CEILING('мойки для партнеров'!L6*(1+'мойки с накруткой'!$S$2),100)</f>
        <v>22500</v>
      </c>
      <c r="M6" s="1">
        <f>CEILING('мойки для партнеров'!M6*(1+'мойки с накруткой'!$S$2),100)</f>
        <v>11000</v>
      </c>
      <c r="N6" s="1">
        <f>CEILING('мойки для партнеров'!N6*(1+'мойки с накруткой'!$S$2),100)</f>
        <v>11000</v>
      </c>
      <c r="O6" s="1">
        <f>CEILING('мойки для партнеров'!O6*(1+'мойки с накруткой'!$S$2),100)</f>
        <v>11000</v>
      </c>
      <c r="P6" s="28">
        <v>0</v>
      </c>
    </row>
    <row r="7" spans="1:19" x14ac:dyDescent="0.25">
      <c r="A7" s="36" t="s">
        <v>147</v>
      </c>
      <c r="B7" s="1">
        <f>CEILING('мойки для партнеров'!B7*(1+'мойки с накруткой'!$S$2),100)</f>
        <v>11100</v>
      </c>
      <c r="C7" s="1">
        <f>CEILING('мойки для партнеров'!C7*(1+'мойки с накруткой'!$S$2),100)</f>
        <v>11100</v>
      </c>
      <c r="D7" s="1">
        <f>CEILING('мойки для партнеров'!D7*(1+'мойки с накруткой'!$S$2),100)</f>
        <v>11200</v>
      </c>
      <c r="E7" s="1">
        <f>CEILING('мойки для партнеров'!E7*(1+'мойки с накруткой'!$S$2),100)</f>
        <v>11200</v>
      </c>
      <c r="F7" s="1">
        <f>CEILING('мойки для партнеров'!F7*(1+'мойки с накруткой'!$S$2),100)</f>
        <v>11300</v>
      </c>
      <c r="G7" s="1">
        <f>CEILING('мойки для партнеров'!G7*(1+'мойки с накруткой'!$S$2),100)</f>
        <v>11200</v>
      </c>
      <c r="H7" s="1">
        <f>CEILING('мойки для партнеров'!H7*(1+'мойки с накруткой'!$S$2),100)</f>
        <v>22300</v>
      </c>
      <c r="I7" s="1">
        <f>CEILING('мойки для партнеров'!I7*(1+'мойки с накруткой'!$S$2),100)</f>
        <v>22400</v>
      </c>
      <c r="J7" s="1">
        <f>CEILING('мойки для партнеров'!J7*(1+'мойки с накруткой'!$S$2),100)</f>
        <v>22400</v>
      </c>
      <c r="K7" s="1">
        <f>CEILING('мойки для партнеров'!K7*(1+'мойки с накруткой'!$S$2),100)</f>
        <v>22300</v>
      </c>
      <c r="L7" s="1">
        <f>CEILING('мойки для партнеров'!L7*(1+'мойки с накруткой'!$S$2),100)</f>
        <v>22500</v>
      </c>
      <c r="M7" s="1">
        <f>CEILING('мойки для партнеров'!M7*(1+'мойки с накруткой'!$S$2),100)</f>
        <v>11000</v>
      </c>
      <c r="N7" s="1">
        <f>CEILING('мойки для партнеров'!N7*(1+'мойки с накруткой'!$S$2),100)</f>
        <v>11000</v>
      </c>
      <c r="O7" s="1">
        <f>CEILING('мойки для партнеров'!O7*(1+'мойки с накруткой'!$S$2),100)</f>
        <v>11000</v>
      </c>
      <c r="P7" s="28">
        <v>0</v>
      </c>
    </row>
    <row r="8" spans="1:19" x14ac:dyDescent="0.25">
      <c r="A8" s="36" t="s">
        <v>148</v>
      </c>
      <c r="B8" s="1">
        <f>CEILING('мойки для партнеров'!B8*(1+'мойки с накруткой'!$S$2),100)</f>
        <v>11100</v>
      </c>
      <c r="C8" s="1">
        <f>CEILING('мойки для партнеров'!C8*(1+'мойки с накруткой'!$S$2),100)</f>
        <v>11200</v>
      </c>
      <c r="D8" s="1">
        <f>CEILING('мойки для партнеров'!D8*(1+'мойки с накруткой'!$S$2),100)</f>
        <v>11200</v>
      </c>
      <c r="E8" s="1">
        <f>CEILING('мойки для партнеров'!E8*(1+'мойки с накруткой'!$S$2),100)</f>
        <v>11300</v>
      </c>
      <c r="F8" s="1">
        <f>CEILING('мойки для партнеров'!F8*(1+'мойки с накруткой'!$S$2),100)</f>
        <v>11300</v>
      </c>
      <c r="G8" s="1">
        <f>CEILING('мойки для партнеров'!G8*(1+'мойки с накруткой'!$S$2),100)</f>
        <v>11300</v>
      </c>
      <c r="H8" s="1">
        <f>CEILING('мойки для партнеров'!H8*(1+'мойки с накруткой'!$S$2),100)</f>
        <v>22500</v>
      </c>
      <c r="I8" s="1">
        <f>CEILING('мойки для партнеров'!I8*(1+'мойки с накруткой'!$S$2),100)</f>
        <v>22500</v>
      </c>
      <c r="J8" s="1">
        <f>CEILING('мойки для партнеров'!J8*(1+'мойки с накруткой'!$S$2),100)</f>
        <v>22500</v>
      </c>
      <c r="K8" s="1">
        <f>CEILING('мойки для партнеров'!K8*(1+'мойки с накруткой'!$S$2),100)</f>
        <v>22400</v>
      </c>
      <c r="L8" s="1">
        <f>CEILING('мойки для партнеров'!L8*(1+'мойки с накруткой'!$S$2),100)</f>
        <v>22600</v>
      </c>
      <c r="M8" s="1">
        <f>CEILING('мойки для партнеров'!M8*(1+'мойки с накруткой'!$S$2),100)</f>
        <v>11000</v>
      </c>
      <c r="N8" s="1">
        <f>CEILING('мойки для партнеров'!N8*(1+'мойки с накруткой'!$S$2),100)</f>
        <v>11000</v>
      </c>
      <c r="O8" s="1">
        <f>CEILING('мойки для партнеров'!O8*(1+'мойки с накруткой'!$S$2),100)</f>
        <v>11000</v>
      </c>
      <c r="P8" s="28">
        <v>0</v>
      </c>
    </row>
    <row r="9" spans="1:19" x14ac:dyDescent="0.25">
      <c r="A9" s="36" t="s">
        <v>150</v>
      </c>
      <c r="B9" s="1">
        <f>CEILING('мойки для партнеров'!B9*(1+'мойки с накруткой'!$S$2),100)</f>
        <v>11100</v>
      </c>
      <c r="C9" s="1">
        <f>CEILING('мойки для партнеров'!C9*(1+'мойки с накруткой'!$S$2),100)</f>
        <v>11200</v>
      </c>
      <c r="D9" s="1">
        <f>CEILING('мойки для партнеров'!D9*(1+'мойки с накруткой'!$S$2),100)</f>
        <v>11200</v>
      </c>
      <c r="E9" s="1">
        <f>CEILING('мойки для партнеров'!E9*(1+'мойки с накруткой'!$S$2),100)</f>
        <v>11300</v>
      </c>
      <c r="F9" s="1">
        <f>CEILING('мойки для партнеров'!F9*(1+'мойки с накруткой'!$S$2),100)</f>
        <v>11300</v>
      </c>
      <c r="G9" s="1">
        <f>CEILING('мойки для партнеров'!G9*(1+'мойки с накруткой'!$S$2),100)</f>
        <v>11300</v>
      </c>
      <c r="H9" s="1">
        <f>CEILING('мойки для партнеров'!H9*(1+'мойки с накруткой'!$S$2),100)</f>
        <v>22500</v>
      </c>
      <c r="I9" s="1">
        <f>CEILING('мойки для партнеров'!I9*(1+'мойки с накруткой'!$S$2),100)</f>
        <v>22500</v>
      </c>
      <c r="J9" s="1">
        <f>CEILING('мойки для партнеров'!J9*(1+'мойки с накруткой'!$S$2),100)</f>
        <v>22500</v>
      </c>
      <c r="K9" s="1">
        <f>CEILING('мойки для партнеров'!K9*(1+'мойки с накруткой'!$S$2),100)</f>
        <v>22400</v>
      </c>
      <c r="L9" s="1">
        <f>CEILING('мойки для партнеров'!L9*(1+'мойки с накруткой'!$S$2),100)</f>
        <v>22600</v>
      </c>
      <c r="M9" s="1">
        <f>CEILING('мойки для партнеров'!M9*(1+'мойки с накруткой'!$S$2),100)</f>
        <v>11000</v>
      </c>
      <c r="N9" s="1">
        <f>CEILING('мойки для партнеров'!N9*(1+'мойки с накруткой'!$S$2),100)</f>
        <v>11000</v>
      </c>
      <c r="O9" s="1">
        <f>CEILING('мойки для партнеров'!O9*(1+'мойки с накруткой'!$S$2),100)</f>
        <v>11000</v>
      </c>
      <c r="P9" s="28">
        <v>0</v>
      </c>
    </row>
    <row r="10" spans="1:19" x14ac:dyDescent="0.25">
      <c r="A10" s="6" t="s">
        <v>152</v>
      </c>
      <c r="B10" s="1">
        <f>CEILING('мойки для партнеров'!B10*(1+'мойки с накруткой'!$S$2),100)</f>
        <v>11400</v>
      </c>
      <c r="C10" s="1">
        <f>CEILING('мойки для партнеров'!C10*(1+'мойки с накруткой'!$S$2),100)</f>
        <v>11400</v>
      </c>
      <c r="D10" s="1">
        <f>CEILING('мойки для партнеров'!D10*(1+'мойки с накруткой'!$S$2),100)</f>
        <v>11500</v>
      </c>
      <c r="E10" s="1">
        <f>CEILING('мойки для партнеров'!E10*(1+'мойки с накруткой'!$S$2),100)</f>
        <v>11600</v>
      </c>
      <c r="F10" s="1">
        <f>CEILING('мойки для партнеров'!F10*(1+'мойки с накруткой'!$S$2),100)</f>
        <v>11700</v>
      </c>
      <c r="G10" s="1">
        <f>CEILING('мойки для партнеров'!G10*(1+'мойки с накруткой'!$S$2),100)</f>
        <v>11600</v>
      </c>
      <c r="H10" s="1">
        <f>CEILING('мойки для партнеров'!H10*(1+'мойки с накруткой'!$S$2),100)</f>
        <v>23100</v>
      </c>
      <c r="I10" s="1">
        <f>CEILING('мойки для партнеров'!I10*(1+'мойки с накруткой'!$S$2),100)</f>
        <v>23100</v>
      </c>
      <c r="J10" s="1">
        <f>CEILING('мойки для партнеров'!J10*(1+'мойки с накруткой'!$S$2),100)</f>
        <v>23100</v>
      </c>
      <c r="K10" s="1">
        <f>CEILING('мойки для партнеров'!K10*(1+'мойки с накруткой'!$S$2),100)</f>
        <v>23000</v>
      </c>
      <c r="L10" s="1">
        <f>CEILING('мойки для партнеров'!L10*(1+'мойки с накруткой'!$S$2),100)</f>
        <v>23300</v>
      </c>
      <c r="M10" s="1">
        <f>CEILING('мойки для партнеров'!M10*(1+'мойки с накруткой'!$S$2),100)</f>
        <v>11200</v>
      </c>
      <c r="N10" s="1">
        <f>CEILING('мойки для партнеров'!N10*(1+'мойки с накруткой'!$S$2),100)</f>
        <v>11200</v>
      </c>
      <c r="O10" s="1">
        <f>CEILING('мойки для партнеров'!O10*(1+'мойки с накруткой'!$S$2),100)</f>
        <v>11200</v>
      </c>
      <c r="P10" s="28">
        <v>0</v>
      </c>
    </row>
    <row r="11" spans="1:19" x14ac:dyDescent="0.25">
      <c r="A11" s="6" t="s">
        <v>149</v>
      </c>
      <c r="B11" s="1">
        <f>CEILING('мойки для партнеров'!B11*(1+'мойки с накруткой'!$S$2),100)</f>
        <v>11100</v>
      </c>
      <c r="C11" s="1">
        <f>CEILING('мойки для партнеров'!C11*(1+'мойки с накруткой'!$S$2),100)</f>
        <v>11200</v>
      </c>
      <c r="D11" s="1">
        <f>CEILING('мойки для партнеров'!D11*(1+'мойки с накруткой'!$S$2),100)</f>
        <v>11300</v>
      </c>
      <c r="E11" s="1">
        <f>CEILING('мойки для партнеров'!E11*(1+'мойки с накруткой'!$S$2),100)</f>
        <v>11300</v>
      </c>
      <c r="F11" s="1">
        <f>CEILING('мойки для партнеров'!F11*(1+'мойки с накруткой'!$S$2),100)</f>
        <v>11400</v>
      </c>
      <c r="G11" s="1">
        <f>CEILING('мойки для партнеров'!G11*(1+'мойки с накруткой'!$S$2),100)</f>
        <v>11300</v>
      </c>
      <c r="H11" s="1">
        <f>CEILING('мойки для партнеров'!H11*(1+'мойки с накруткой'!$S$2),100)</f>
        <v>22500</v>
      </c>
      <c r="I11" s="1">
        <f>CEILING('мойки для партнеров'!I11*(1+'мойки с накруткой'!$S$2),100)</f>
        <v>22600</v>
      </c>
      <c r="J11" s="1">
        <f>CEILING('мойки для партнеров'!J11*(1+'мойки с накруткой'!$S$2),100)</f>
        <v>22600</v>
      </c>
      <c r="K11" s="1">
        <f>CEILING('мойки для партнеров'!K11*(1+'мойки с накруткой'!$S$2),100)</f>
        <v>22500</v>
      </c>
      <c r="L11" s="1">
        <f>CEILING('мойки для партнеров'!L11*(1+'мойки с накруткой'!$S$2),100)</f>
        <v>22700</v>
      </c>
      <c r="M11" s="1">
        <f>CEILING('мойки для партнеров'!M11*(1+'мойки с накруткой'!$S$2),100)</f>
        <v>11000</v>
      </c>
      <c r="N11" s="1">
        <f>CEILING('мойки для партнеров'!N11*(1+'мойки с накруткой'!$S$2),100)</f>
        <v>11000</v>
      </c>
      <c r="O11" s="1">
        <f>CEILING('мойки для партнеров'!O11*(1+'мойки с накруткой'!$S$2),100)</f>
        <v>11000</v>
      </c>
      <c r="P11" s="28">
        <v>0</v>
      </c>
    </row>
    <row r="12" spans="1:19" x14ac:dyDescent="0.25">
      <c r="A12" s="10" t="s">
        <v>153</v>
      </c>
      <c r="B12" s="1">
        <f>CEILING('мойки для партнеров'!B12*(1+'мойки с накруткой'!$S$2),100)</f>
        <v>11400</v>
      </c>
      <c r="C12" s="1">
        <f>CEILING('мойки для партнеров'!C12*(1+'мойки с накруткой'!$S$2),100)</f>
        <v>11400</v>
      </c>
      <c r="D12" s="1">
        <f>CEILING('мойки для партнеров'!D12*(1+'мойки с накруткой'!$S$2),100)</f>
        <v>11500</v>
      </c>
      <c r="E12" s="1">
        <f>CEILING('мойки для партнеров'!E12*(1+'мойки с накруткой'!$S$2),100)</f>
        <v>11600</v>
      </c>
      <c r="F12" s="1">
        <f>CEILING('мойки для партнеров'!F12*(1+'мойки с накруткой'!$S$2),100)</f>
        <v>11700</v>
      </c>
      <c r="G12" s="1">
        <f>CEILING('мойки для партнеров'!G12*(1+'мойки с накруткой'!$S$2),100)</f>
        <v>11600</v>
      </c>
      <c r="H12" s="1">
        <f>CEILING('мойки для партнеров'!H12*(1+'мойки с накруткой'!$S$2),100)</f>
        <v>23100</v>
      </c>
      <c r="I12" s="1">
        <f>CEILING('мойки для партнеров'!I12*(1+'мойки с накруткой'!$S$2),100)</f>
        <v>23100</v>
      </c>
      <c r="J12" s="1">
        <f>CEILING('мойки для партнеров'!J12*(1+'мойки с накруткой'!$S$2),100)</f>
        <v>23100</v>
      </c>
      <c r="K12" s="1">
        <f>CEILING('мойки для партнеров'!K12*(1+'мойки с накруткой'!$S$2),100)</f>
        <v>23000</v>
      </c>
      <c r="L12" s="1">
        <f>CEILING('мойки для партнеров'!L12*(1+'мойки с накруткой'!$S$2),100)</f>
        <v>23300</v>
      </c>
      <c r="M12" s="1">
        <f>CEILING('мойки для партнеров'!M12*(1+'мойки с накруткой'!$S$2),100)</f>
        <v>11200</v>
      </c>
      <c r="N12" s="1">
        <f>CEILING('мойки для партнеров'!N12*(1+'мойки с накруткой'!$S$2),100)</f>
        <v>11200</v>
      </c>
      <c r="O12" s="1">
        <f>CEILING('мойки для партнеров'!O12*(1+'мойки с накруткой'!$S$2),100)</f>
        <v>11200</v>
      </c>
      <c r="P12" s="28">
        <v>0</v>
      </c>
    </row>
    <row r="13" spans="1:19" x14ac:dyDescent="0.25">
      <c r="A13" s="37" t="s">
        <v>154</v>
      </c>
      <c r="B13" s="1">
        <f>CEILING('мойки для партнеров'!B13*(1+'мойки с накруткой'!$S$2),100)</f>
        <v>11500</v>
      </c>
      <c r="C13" s="1">
        <f>CEILING('мойки для партнеров'!C13*(1+'мойки с накруткой'!$S$2),100)</f>
        <v>11600</v>
      </c>
      <c r="D13" s="1">
        <f>CEILING('мойки для партнеров'!D13*(1+'мойки с накруткой'!$S$2),100)</f>
        <v>11700</v>
      </c>
      <c r="E13" s="1">
        <f>CEILING('мойки для партнеров'!E13*(1+'мойки с накруткой'!$S$2),100)</f>
        <v>11800</v>
      </c>
      <c r="F13" s="1">
        <f>CEILING('мойки для партнеров'!F13*(1+'мойки с накруткой'!$S$2),100)</f>
        <v>11900</v>
      </c>
      <c r="G13" s="1">
        <f>CEILING('мойки для партнеров'!G13*(1+'мойки с накруткой'!$S$2),100)</f>
        <v>11800</v>
      </c>
      <c r="H13" s="1">
        <f>CEILING('мойки для партнеров'!H13*(1+'мойки с накруткой'!$S$2),100)</f>
        <v>23400</v>
      </c>
      <c r="I13" s="1">
        <f>CEILING('мойки для партнеров'!I13*(1+'мойки с накруткой'!$S$2),100)</f>
        <v>23500</v>
      </c>
      <c r="J13" s="1">
        <f>CEILING('мойки для партнеров'!J13*(1+'мойки с накруткой'!$S$2),100)</f>
        <v>23500</v>
      </c>
      <c r="K13" s="1">
        <f>CEILING('мойки для партнеров'!K13*(1+'мойки с накруткой'!$S$2),100)</f>
        <v>23300</v>
      </c>
      <c r="L13" s="1">
        <f>CEILING('мойки для партнеров'!L13*(1+'мойки с накруткой'!$S$2),100)</f>
        <v>23700</v>
      </c>
      <c r="M13" s="1">
        <f>CEILING('мойки для партнеров'!M13*(1+'мойки с накруткой'!$S$2),100)</f>
        <v>11300</v>
      </c>
      <c r="N13" s="1">
        <f>CEILING('мойки для партнеров'!N13*(1+'мойки с накруткой'!$S$2),100)</f>
        <v>11300</v>
      </c>
      <c r="O13" s="1">
        <f>CEILING('мойки для партнеров'!O13*(1+'мойки с накруткой'!$S$2),100)</f>
        <v>11300</v>
      </c>
      <c r="P13" s="28">
        <v>0</v>
      </c>
    </row>
    <row r="14" spans="1:19" x14ac:dyDescent="0.25">
      <c r="A14" s="37" t="s">
        <v>272</v>
      </c>
      <c r="B14" s="1">
        <f>CEILING('мойки для партнеров'!B14*(1+'мойки с накруткой'!$S$2),100)</f>
        <v>10800</v>
      </c>
      <c r="C14" s="1">
        <f>CEILING('мойки для партнеров'!C14*(1+'мойки с накруткой'!$S$2),100)</f>
        <v>10900</v>
      </c>
      <c r="D14" s="1">
        <f>CEILING('мойки для партнеров'!D14*(1+'мойки с накруткой'!$S$2),100)</f>
        <v>10900</v>
      </c>
      <c r="E14" s="1">
        <f>CEILING('мойки для партнеров'!E14*(1+'мойки с накруткой'!$S$2),100)</f>
        <v>10900</v>
      </c>
      <c r="F14" s="1">
        <f>CEILING('мойки для партнеров'!F14*(1+'мойки с накруткой'!$S$2),100)</f>
        <v>11000</v>
      </c>
      <c r="G14" s="1">
        <f>CEILING('мойки для партнеров'!G14*(1+'мойки с накруткой'!$S$2),100)</f>
        <v>10900</v>
      </c>
      <c r="H14" s="1">
        <f>CEILING('мойки для партнеров'!H14*(1+'мойки с накруткой'!$S$2),100)</f>
        <v>21800</v>
      </c>
      <c r="I14" s="1">
        <f>CEILING('мойки для партнеров'!I14*(1+'мойки с накруткой'!$S$2),100)</f>
        <v>21800</v>
      </c>
      <c r="J14" s="1">
        <f>CEILING('мойки для партнеров'!J14*(1+'мойки с накруткой'!$S$2),100)</f>
        <v>21800</v>
      </c>
      <c r="K14" s="1">
        <f>CEILING('мойки для партнеров'!K14*(1+'мойки с накруткой'!$S$2),100)</f>
        <v>21700</v>
      </c>
      <c r="L14" s="1">
        <f>CEILING('мойки для партнеров'!L14*(1+'мойки с накруткой'!$S$2),100)</f>
        <v>21900</v>
      </c>
      <c r="M14" s="1">
        <f>CEILING('мойки для партнеров'!M14*(1+'мойки с накруткой'!$S$2),100)</f>
        <v>10800</v>
      </c>
      <c r="N14" s="1">
        <f>CEILING('мойки для партнеров'!N14*(1+'мойки с накруткой'!$S$2),100)</f>
        <v>10800</v>
      </c>
      <c r="O14" s="1">
        <f>CEILING('мойки для партнеров'!O14*(1+'мойки с накруткой'!$S$2),100)</f>
        <v>10800</v>
      </c>
      <c r="P14" s="28">
        <v>0</v>
      </c>
    </row>
    <row r="15" spans="1:19" x14ac:dyDescent="0.25">
      <c r="A15" s="6" t="s">
        <v>14</v>
      </c>
      <c r="B15" s="1">
        <f>CEILING('мойки для партнеров'!B15*(1+'мойки с накруткой'!$S$2),100)</f>
        <v>10900</v>
      </c>
      <c r="C15" s="1">
        <f>CEILING('мойки для партнеров'!C15*(1+'мойки с накруткой'!$S$2),100)</f>
        <v>11000</v>
      </c>
      <c r="D15" s="1">
        <f>CEILING('мойки для партнеров'!D15*(1+'мойки с накруткой'!$S$2),100)</f>
        <v>11000</v>
      </c>
      <c r="E15" s="1">
        <f>CEILING('мойки для партнеров'!E15*(1+'мойки с накруткой'!$S$2),100)</f>
        <v>11000</v>
      </c>
      <c r="F15" s="1">
        <f>CEILING('мойки для партнеров'!F15*(1+'мойки с накруткой'!$S$2),100)</f>
        <v>11100</v>
      </c>
      <c r="G15" s="1">
        <f>CEILING('мойки для партнеров'!G15*(1+'мойки с накруткой'!$S$2),100)</f>
        <v>11000</v>
      </c>
      <c r="H15" s="1">
        <f>CEILING('мойки для партнеров'!H15*(1+'мойки с накруткой'!$S$2),100)</f>
        <v>22000</v>
      </c>
      <c r="I15" s="1">
        <f>CEILING('мойки для партнеров'!I15*(1+'мойки с накруткой'!$S$2),100)</f>
        <v>22000</v>
      </c>
      <c r="J15" s="1">
        <f>CEILING('мойки для партнеров'!J15*(1+'мойки с накруткой'!$S$2),100)</f>
        <v>22000</v>
      </c>
      <c r="K15" s="1">
        <f>CEILING('мойки для партнеров'!K15*(1+'мойки с накруткой'!$S$2),100)</f>
        <v>22000</v>
      </c>
      <c r="L15" s="1">
        <f>CEILING('мойки для партнеров'!L15*(1+'мойки с накруткой'!$S$2),100)</f>
        <v>22100</v>
      </c>
      <c r="M15" s="1">
        <f>CEILING('мойки для партнеров'!M15*(1+'мойки с накруткой'!$S$2),100)</f>
        <v>10900</v>
      </c>
      <c r="N15" s="1">
        <f>CEILING('мойки для партнеров'!N15*(1+'мойки с накруткой'!$S$2),100)</f>
        <v>10900</v>
      </c>
      <c r="O15" s="1">
        <f>CEILING('мойки для партнеров'!O15*(1+'мойки с накруткой'!$S$2),100)</f>
        <v>10900</v>
      </c>
      <c r="P15" s="28">
        <v>0</v>
      </c>
    </row>
    <row r="16" spans="1:19" x14ac:dyDescent="0.25">
      <c r="A16" s="6" t="s">
        <v>15</v>
      </c>
      <c r="B16" s="1">
        <f>CEILING('мойки для партнеров'!B16*(1+'мойки с накруткой'!$S$2),100)</f>
        <v>10900</v>
      </c>
      <c r="C16" s="1">
        <f>CEILING('мойки для партнеров'!C16*(1+'мойки с накруткой'!$S$2),100)</f>
        <v>11000</v>
      </c>
      <c r="D16" s="1">
        <f>CEILING('мойки для партнеров'!D16*(1+'мойки с накруткой'!$S$2),100)</f>
        <v>11000</v>
      </c>
      <c r="E16" s="1">
        <f>CEILING('мойки для партнеров'!E16*(1+'мойки с накруткой'!$S$2),100)</f>
        <v>11000</v>
      </c>
      <c r="F16" s="1">
        <f>CEILING('мойки для партнеров'!F16*(1+'мойки с накруткой'!$S$2),100)</f>
        <v>11100</v>
      </c>
      <c r="G16" s="1">
        <f>CEILING('мойки для партнеров'!G16*(1+'мойки с накруткой'!$S$2),100)</f>
        <v>11000</v>
      </c>
      <c r="H16" s="1">
        <f>CEILING('мойки для партнеров'!H16*(1+'мойки с накруткой'!$S$2),100)</f>
        <v>22000</v>
      </c>
      <c r="I16" s="1">
        <f>CEILING('мойки для партнеров'!I16*(1+'мойки с накруткой'!$S$2),100)</f>
        <v>22000</v>
      </c>
      <c r="J16" s="1">
        <f>CEILING('мойки для партнеров'!J16*(1+'мойки с накруткой'!$S$2),100)</f>
        <v>22000</v>
      </c>
      <c r="K16" s="1">
        <f>CEILING('мойки для партнеров'!K16*(1+'мойки с накруткой'!$S$2),100)</f>
        <v>22000</v>
      </c>
      <c r="L16" s="1">
        <f>CEILING('мойки для партнеров'!L16*(1+'мойки с накруткой'!$S$2),100)</f>
        <v>22100</v>
      </c>
      <c r="M16" s="1">
        <f>CEILING('мойки для партнеров'!M16*(1+'мойки с накруткой'!$S$2),100)</f>
        <v>10900</v>
      </c>
      <c r="N16" s="1">
        <f>CEILING('мойки для партнеров'!N16*(1+'мойки с накруткой'!$S$2),100)</f>
        <v>10900</v>
      </c>
      <c r="O16" s="1">
        <f>CEILING('мойки для партнеров'!O16*(1+'мойки с накруткой'!$S$2),100)</f>
        <v>10900</v>
      </c>
      <c r="P16" s="28">
        <v>0</v>
      </c>
    </row>
    <row r="17" spans="1:16" x14ac:dyDescent="0.25">
      <c r="A17" s="6" t="s">
        <v>197</v>
      </c>
      <c r="B17" s="1">
        <f>CEILING('мойки для партнеров'!B17*(1+'мойки с накруткой'!$S$2),100)</f>
        <v>11000</v>
      </c>
      <c r="C17" s="1">
        <f>CEILING('мойки для партнеров'!C17*(1+'мойки с накруткой'!$S$2),100)</f>
        <v>11000</v>
      </c>
      <c r="D17" s="1">
        <f>CEILING('мойки для партнеров'!D17*(1+'мойки с накруткой'!$S$2),100)</f>
        <v>11000</v>
      </c>
      <c r="E17" s="1">
        <f>CEILING('мойки для партнеров'!E17*(1+'мойки с накруткой'!$S$2),100)</f>
        <v>11100</v>
      </c>
      <c r="F17" s="1">
        <f>CEILING('мойки для партнеров'!F17*(1+'мойки с накруткой'!$S$2),100)</f>
        <v>11100</v>
      </c>
      <c r="G17" s="1">
        <f>CEILING('мойки для партнеров'!G17*(1+'мойки с накруткой'!$S$2),100)</f>
        <v>11100</v>
      </c>
      <c r="H17" s="1">
        <f>CEILING('мойки для партнеров'!H17*(1+'мойки с накруткой'!$S$2),100)</f>
        <v>22100</v>
      </c>
      <c r="I17" s="1">
        <f>CEILING('мойки для партнеров'!I17*(1+'мойки с накруткой'!$S$2),100)</f>
        <v>22100</v>
      </c>
      <c r="J17" s="1">
        <f>CEILING('мойки для партнеров'!J17*(1+'мойки с накруткой'!$S$2),100)</f>
        <v>22100</v>
      </c>
      <c r="K17" s="1">
        <f>CEILING('мойки для партнеров'!K17*(1+'мойки с накруткой'!$S$2),100)</f>
        <v>22000</v>
      </c>
      <c r="L17" s="1">
        <f>CEILING('мойки для партнеров'!L17*(1+'мойки с накруткой'!$S$2),100)</f>
        <v>22200</v>
      </c>
      <c r="M17" s="1">
        <f>CEILING('мойки для партнеров'!M17*(1+'мойки с накруткой'!$S$2),100)</f>
        <v>10900</v>
      </c>
      <c r="N17" s="1">
        <f>CEILING('мойки для партнеров'!N17*(1+'мойки с накруткой'!$S$2),100)</f>
        <v>10900</v>
      </c>
      <c r="O17" s="1">
        <f>CEILING('мойки для партнеров'!O17*(1+'мойки с накруткой'!$S$2),100)</f>
        <v>10900</v>
      </c>
      <c r="P17" s="28">
        <v>0</v>
      </c>
    </row>
    <row r="18" spans="1:16" x14ac:dyDescent="0.25">
      <c r="A18" s="6" t="s">
        <v>17</v>
      </c>
      <c r="B18" s="1">
        <f>CEILING('мойки для партнеров'!B18*(1+'мойки с накруткой'!$S$2),100)</f>
        <v>11000</v>
      </c>
      <c r="C18" s="1">
        <f>CEILING('мойки для партнеров'!C18*(1+'мойки с накруткой'!$S$2),100)</f>
        <v>11000</v>
      </c>
      <c r="D18" s="1">
        <f>CEILING('мойки для партнеров'!D18*(1+'мойки с накруткой'!$S$2),100)</f>
        <v>11100</v>
      </c>
      <c r="E18" s="1">
        <f>CEILING('мойки для партнеров'!E18*(1+'мойки с накруткой'!$S$2),100)</f>
        <v>11100</v>
      </c>
      <c r="F18" s="1">
        <f>CEILING('мойки для партнеров'!F18*(1+'мойки с накруткой'!$S$2),100)</f>
        <v>11200</v>
      </c>
      <c r="G18" s="1">
        <f>CEILING('мойки для партнеров'!G18*(1+'мойки с накруткой'!$S$2),100)</f>
        <v>11100</v>
      </c>
      <c r="H18" s="1">
        <f>CEILING('мойки для партнеров'!H18*(1+'мойки с накруткой'!$S$2),100)</f>
        <v>22100</v>
      </c>
      <c r="I18" s="1">
        <f>CEILING('мойки для партнеров'!I18*(1+'мойки с накруткой'!$S$2),100)</f>
        <v>22200</v>
      </c>
      <c r="J18" s="1">
        <f>CEILING('мойки для партнеров'!J18*(1+'мойки с накруткой'!$S$2),100)</f>
        <v>22200</v>
      </c>
      <c r="K18" s="1">
        <f>CEILING('мойки для партнеров'!K18*(1+'мойки с накруткой'!$S$2),100)</f>
        <v>22100</v>
      </c>
      <c r="L18" s="1">
        <f>CEILING('мойки для партнеров'!L18*(1+'мойки с накруткой'!$S$2),100)</f>
        <v>22300</v>
      </c>
      <c r="M18" s="1">
        <f>CEILING('мойки для партнеров'!M18*(1+'мойки с накруткой'!$S$2),100)</f>
        <v>10900</v>
      </c>
      <c r="N18" s="1">
        <f>CEILING('мойки для партнеров'!N18*(1+'мойки с накруткой'!$S$2),100)</f>
        <v>10900</v>
      </c>
      <c r="O18" s="1">
        <f>CEILING('мойки для партнеров'!O18*(1+'мойки с накруткой'!$S$2),100)</f>
        <v>10900</v>
      </c>
      <c r="P18" s="28">
        <v>0</v>
      </c>
    </row>
    <row r="19" spans="1:16" x14ac:dyDescent="0.25">
      <c r="A19" s="6" t="s">
        <v>18</v>
      </c>
      <c r="B19" s="1">
        <f>CEILING('мойки для партнеров'!B19*(1+'мойки с накруткой'!$S$2),100)</f>
        <v>11000</v>
      </c>
      <c r="C19" s="1">
        <f>CEILING('мойки для партнеров'!C19*(1+'мойки с накруткой'!$S$2),100)</f>
        <v>11000</v>
      </c>
      <c r="D19" s="1">
        <f>CEILING('мойки для партнеров'!D19*(1+'мойки с накруткой'!$S$2),100)</f>
        <v>11100</v>
      </c>
      <c r="E19" s="1">
        <f>CEILING('мойки для партнеров'!E19*(1+'мойки с накруткой'!$S$2),100)</f>
        <v>11100</v>
      </c>
      <c r="F19" s="1">
        <f>CEILING('мойки для партнеров'!F19*(1+'мойки с накруткой'!$S$2),100)</f>
        <v>11200</v>
      </c>
      <c r="G19" s="1">
        <f>CEILING('мойки для партнеров'!G19*(1+'мойки с накруткой'!$S$2),100)</f>
        <v>11100</v>
      </c>
      <c r="H19" s="1">
        <f>CEILING('мойки для партнеров'!H19*(1+'мойки с накруткой'!$S$2),100)</f>
        <v>22100</v>
      </c>
      <c r="I19" s="1">
        <f>CEILING('мойки для партнеров'!I19*(1+'мойки с накруткой'!$S$2),100)</f>
        <v>22200</v>
      </c>
      <c r="J19" s="1">
        <f>CEILING('мойки для партнеров'!J19*(1+'мойки с накруткой'!$S$2),100)</f>
        <v>22200</v>
      </c>
      <c r="K19" s="1">
        <f>CEILING('мойки для партнеров'!K19*(1+'мойки с накруткой'!$S$2),100)</f>
        <v>22100</v>
      </c>
      <c r="L19" s="1">
        <f>CEILING('мойки для партнеров'!L19*(1+'мойки с накруткой'!$S$2),100)</f>
        <v>22300</v>
      </c>
      <c r="M19" s="1">
        <f>CEILING('мойки для партнеров'!M19*(1+'мойки с накруткой'!$S$2),100)</f>
        <v>10900</v>
      </c>
      <c r="N19" s="1">
        <f>CEILING('мойки для партнеров'!N19*(1+'мойки с накруткой'!$S$2),100)</f>
        <v>10900</v>
      </c>
      <c r="O19" s="1">
        <f>CEILING('мойки для партнеров'!O19*(1+'мойки с накруткой'!$S$2),100)</f>
        <v>10900</v>
      </c>
      <c r="P19" s="28">
        <v>0</v>
      </c>
    </row>
    <row r="20" spans="1:16" x14ac:dyDescent="0.25">
      <c r="A20" s="170" t="s">
        <v>19</v>
      </c>
      <c r="B20" s="1">
        <f>CEILING('мойки для партнеров'!B20*(1+'мойки с накруткой'!$S$2),100)</f>
        <v>11200</v>
      </c>
      <c r="C20" s="1">
        <f>CEILING('мойки для партнеров'!C20*(1+'мойки с накруткой'!$S$2),100)</f>
        <v>11300</v>
      </c>
      <c r="D20" s="1">
        <f>CEILING('мойки для партнеров'!D20*(1+'мойки с накруткой'!$S$2),100)</f>
        <v>11400</v>
      </c>
      <c r="E20" s="1">
        <f>CEILING('мойки для партнеров'!E20*(1+'мойки с накруткой'!$S$2),100)</f>
        <v>11400</v>
      </c>
      <c r="F20" s="1">
        <f>CEILING('мойки для партнеров'!F20*(1+'мойки с накруткой'!$S$2),100)</f>
        <v>11500</v>
      </c>
      <c r="G20" s="1">
        <f>CEILING('мойки для партнеров'!G20*(1+'мойки с накруткой'!$S$2),100)</f>
        <v>11400</v>
      </c>
      <c r="H20" s="1">
        <f>CEILING('мойки для партнеров'!H20*(1+'мойки с накруткой'!$S$2),100)</f>
        <v>22800</v>
      </c>
      <c r="I20" s="1">
        <f>CEILING('мойки для партнеров'!I20*(1+'мойки с накруткой'!$S$2),100)</f>
        <v>22800</v>
      </c>
      <c r="J20" s="1">
        <f>CEILING('мойки для партнеров'!J20*(1+'мойки с накруткой'!$S$2),100)</f>
        <v>22800</v>
      </c>
      <c r="K20" s="1">
        <f>CEILING('мойки для партнеров'!K20*(1+'мойки с накруткой'!$S$2),100)</f>
        <v>22700</v>
      </c>
      <c r="L20" s="1">
        <f>CEILING('мойки для партнеров'!L20*(1+'мойки с накруткой'!$S$2),100)</f>
        <v>23000</v>
      </c>
      <c r="M20" s="1">
        <f>CEILING('мойки для партнеров'!M20*(1+'мойки с накруткой'!$S$2),100)</f>
        <v>11100</v>
      </c>
      <c r="N20" s="1">
        <f>CEILING('мойки для партнеров'!N20*(1+'мойки с накруткой'!$S$2),100)</f>
        <v>11100</v>
      </c>
      <c r="O20" s="1">
        <f>CEILING('мойки для партнеров'!O20*(1+'мойки с накруткой'!$S$2),100)</f>
        <v>11100</v>
      </c>
      <c r="P20" s="28">
        <v>0</v>
      </c>
    </row>
    <row r="21" spans="1:16" x14ac:dyDescent="0.25">
      <c r="A21" s="170" t="s">
        <v>20</v>
      </c>
      <c r="B21" s="1">
        <f>CEILING('мойки для партнеров'!B21*(1+'мойки с накруткой'!$S$2),100)</f>
        <v>11300</v>
      </c>
      <c r="C21" s="1">
        <f>CEILING('мойки для партнеров'!C21*(1+'мойки с накруткой'!$S$2),100)</f>
        <v>11400</v>
      </c>
      <c r="D21" s="1">
        <f>CEILING('мойки для партнеров'!D21*(1+'мойки с накруткой'!$S$2),100)</f>
        <v>11400</v>
      </c>
      <c r="E21" s="1">
        <f>CEILING('мойки для партнеров'!E21*(1+'мойки с накруткой'!$S$2),100)</f>
        <v>11500</v>
      </c>
      <c r="F21" s="1">
        <f>CEILING('мойки для партнеров'!F21*(1+'мойки с накруткой'!$S$2),100)</f>
        <v>11600</v>
      </c>
      <c r="G21" s="1">
        <f>CEILING('мойки для партнеров'!G21*(1+'мойки с накруткой'!$S$2),100)</f>
        <v>11500</v>
      </c>
      <c r="H21" s="1">
        <f>CEILING('мойки для партнеров'!H21*(1+'мойки с накруткой'!$S$2),100)</f>
        <v>22900</v>
      </c>
      <c r="I21" s="1">
        <f>CEILING('мойки для партнеров'!I21*(1+'мойки с накруткой'!$S$2),100)</f>
        <v>23000</v>
      </c>
      <c r="J21" s="1">
        <f>CEILING('мойки для партнеров'!J21*(1+'мойки с накруткой'!$S$2),100)</f>
        <v>23000</v>
      </c>
      <c r="K21" s="1">
        <f>CEILING('мойки для партнеров'!K21*(1+'мойки с накруткой'!$S$2),100)</f>
        <v>22800</v>
      </c>
      <c r="L21" s="1">
        <f>CEILING('мойки для партнеров'!L21*(1+'мойки с накруткой'!$S$2),100)</f>
        <v>23100</v>
      </c>
      <c r="M21" s="1">
        <f>CEILING('мойки для партнеров'!M21*(1+'мойки с накруткой'!$S$2),100)</f>
        <v>11200</v>
      </c>
      <c r="N21" s="1">
        <f>CEILING('мойки для партнеров'!N21*(1+'мойки с накруткой'!$S$2),100)</f>
        <v>11200</v>
      </c>
      <c r="O21" s="1">
        <f>CEILING('мойки для партнеров'!O21*(1+'мойки с накруткой'!$S$2),100)</f>
        <v>11200</v>
      </c>
      <c r="P21" s="28">
        <v>0</v>
      </c>
    </row>
    <row r="22" spans="1:16" x14ac:dyDescent="0.25">
      <c r="A22" s="170" t="s">
        <v>273</v>
      </c>
      <c r="B22" s="1">
        <f>CEILING('мойки для партнеров'!B22*(1+'мойки с накруткой'!$S$2),100)</f>
        <v>11300</v>
      </c>
      <c r="C22" s="1">
        <f>CEILING('мойки для партнеров'!C22*(1+'мойки с накруткой'!$S$2),100)</f>
        <v>11400</v>
      </c>
      <c r="D22" s="1">
        <f>CEILING('мойки для партнеров'!D22*(1+'мойки с накруткой'!$S$2),100)</f>
        <v>11400</v>
      </c>
      <c r="E22" s="1">
        <f>CEILING('мойки для партнеров'!E22*(1+'мойки с накруткой'!$S$2),100)</f>
        <v>11500</v>
      </c>
      <c r="F22" s="1">
        <f>CEILING('мойки для партнеров'!F22*(1+'мойки с накруткой'!$S$2),100)</f>
        <v>11600</v>
      </c>
      <c r="G22" s="1">
        <f>CEILING('мойки для партнеров'!G22*(1+'мойки с накруткой'!$S$2),100)</f>
        <v>11500</v>
      </c>
      <c r="H22" s="1">
        <f>CEILING('мойки для партнеров'!H22*(1+'мойки с накруткой'!$S$2),100)</f>
        <v>22900</v>
      </c>
      <c r="I22" s="1">
        <f>CEILING('мойки для партнеров'!I22*(1+'мойки с накруткой'!$S$2),100)</f>
        <v>23000</v>
      </c>
      <c r="J22" s="1">
        <f>CEILING('мойки для партнеров'!J22*(1+'мойки с накруткой'!$S$2),100)</f>
        <v>23000</v>
      </c>
      <c r="K22" s="1">
        <f>CEILING('мойки для партнеров'!K22*(1+'мойки с накруткой'!$S$2),100)</f>
        <v>22800</v>
      </c>
      <c r="L22" s="1">
        <f>CEILING('мойки для партнеров'!L22*(1+'мойки с накруткой'!$S$2),100)</f>
        <v>23100</v>
      </c>
      <c r="M22" s="1">
        <f>CEILING('мойки для партнеров'!M22*(1+'мойки с накруткой'!$S$2),100)</f>
        <v>11200</v>
      </c>
      <c r="N22" s="1">
        <f>CEILING('мойки для партнеров'!N22*(1+'мойки с накруткой'!$S$2),100)</f>
        <v>11200</v>
      </c>
      <c r="O22" s="1">
        <f>CEILING('мойки для партнеров'!O22*(1+'мойки с накруткой'!$S$2),100)</f>
        <v>11200</v>
      </c>
      <c r="P22" s="28">
        <v>0</v>
      </c>
    </row>
    <row r="23" spans="1:16" x14ac:dyDescent="0.25">
      <c r="A23" s="170" t="s">
        <v>21</v>
      </c>
      <c r="B23" s="1">
        <f>CEILING('мойки для партнеров'!B23*(1+'мойки с накруткой'!$S$2),100)</f>
        <v>11400</v>
      </c>
      <c r="C23" s="1">
        <f>CEILING('мойки для партнеров'!C23*(1+'мойки с накруткой'!$S$2),100)</f>
        <v>11400</v>
      </c>
      <c r="D23" s="1">
        <f>CEILING('мойки для партнеров'!D23*(1+'мойки с накруткой'!$S$2),100)</f>
        <v>11500</v>
      </c>
      <c r="E23" s="1">
        <f>CEILING('мойки для партнеров'!E23*(1+'мойки с накруткой'!$S$2),100)</f>
        <v>11600</v>
      </c>
      <c r="F23" s="1">
        <f>CEILING('мойки для партнеров'!F23*(1+'мойки с накруткой'!$S$2),100)</f>
        <v>11700</v>
      </c>
      <c r="G23" s="1">
        <f>CEILING('мойки для партнеров'!G23*(1+'мойки с накруткой'!$S$2),100)</f>
        <v>11600</v>
      </c>
      <c r="H23" s="1">
        <f>CEILING('мойки для партнеров'!H23*(1+'мойки с накруткой'!$S$2),100)</f>
        <v>23100</v>
      </c>
      <c r="I23" s="1">
        <f>CEILING('мойки для партнеров'!I23*(1+'мойки с накруткой'!$S$2),100)</f>
        <v>23200</v>
      </c>
      <c r="J23" s="1">
        <f>CEILING('мойки для партнеров'!J23*(1+'мойки с накруткой'!$S$2),100)</f>
        <v>23200</v>
      </c>
      <c r="K23" s="1">
        <f>CEILING('мойки для партнеров'!K23*(1+'мойки с накруткой'!$S$2),100)</f>
        <v>23000</v>
      </c>
      <c r="L23" s="1">
        <f>CEILING('мойки для партнеров'!L23*(1+'мойки с накруткой'!$S$2),100)</f>
        <v>23300</v>
      </c>
      <c r="M23" s="1">
        <f>CEILING('мойки для партнеров'!M23*(1+'мойки с накруткой'!$S$2),100)</f>
        <v>11200</v>
      </c>
      <c r="N23" s="1">
        <f>CEILING('мойки для партнеров'!N23*(1+'мойки с накруткой'!$S$2),100)</f>
        <v>11200</v>
      </c>
      <c r="O23" s="1">
        <f>CEILING('мойки для партнеров'!O23*(1+'мойки с накруткой'!$S$2),100)</f>
        <v>11200</v>
      </c>
      <c r="P23" s="28">
        <v>0</v>
      </c>
    </row>
    <row r="24" spans="1:16" x14ac:dyDescent="0.25">
      <c r="A24" s="170" t="s">
        <v>274</v>
      </c>
      <c r="B24" s="1">
        <f>CEILING('мойки для партнеров'!B24*(1+'мойки с накруткой'!$S$2),100)</f>
        <v>11400</v>
      </c>
      <c r="C24" s="1">
        <f>CEILING('мойки для партнеров'!C24*(1+'мойки с накруткой'!$S$2),100)</f>
        <v>11500</v>
      </c>
      <c r="D24" s="1">
        <f>CEILING('мойки для партнеров'!D24*(1+'мойки с накруткой'!$S$2),100)</f>
        <v>11500</v>
      </c>
      <c r="E24" s="1">
        <f>CEILING('мойки для партнеров'!E24*(1+'мойки с накруткой'!$S$2),100)</f>
        <v>11600</v>
      </c>
      <c r="F24" s="1">
        <f>CEILING('мойки для партнеров'!F24*(1+'мойки с накруткой'!$S$2),100)</f>
        <v>11700</v>
      </c>
      <c r="G24" s="1">
        <f>CEILING('мойки для партнеров'!G24*(1+'мойки с накруткой'!$S$2),100)</f>
        <v>11600</v>
      </c>
      <c r="H24" s="1">
        <f>CEILING('мойки для партнеров'!H24*(1+'мойки с накруткой'!$S$2),100)</f>
        <v>23100</v>
      </c>
      <c r="I24" s="1">
        <f>CEILING('мойки для партнеров'!I24*(1+'мойки с накруткой'!$S$2),100)</f>
        <v>23200</v>
      </c>
      <c r="J24" s="1">
        <f>CEILING('мойки для партнеров'!J24*(1+'мойки с накруткой'!$S$2),100)</f>
        <v>23200</v>
      </c>
      <c r="K24" s="1">
        <f>CEILING('мойки для партнеров'!K24*(1+'мойки с накруткой'!$S$2),100)</f>
        <v>23000</v>
      </c>
      <c r="L24" s="1">
        <f>CEILING('мойки для партнеров'!L24*(1+'мойки с накруткой'!$S$2),100)</f>
        <v>23400</v>
      </c>
      <c r="M24" s="1">
        <f>CEILING('мойки для партнеров'!M24*(1+'мойки с накруткой'!$S$2),100)</f>
        <v>11200</v>
      </c>
      <c r="N24" s="1">
        <f>CEILING('мойки для партнеров'!N24*(1+'мойки с накруткой'!$S$2),100)</f>
        <v>11200</v>
      </c>
      <c r="O24" s="1">
        <f>CEILING('мойки для партнеров'!O24*(1+'мойки с накруткой'!$S$2),100)</f>
        <v>11200</v>
      </c>
      <c r="P24" s="28">
        <v>0</v>
      </c>
    </row>
    <row r="25" spans="1:16" x14ac:dyDescent="0.25">
      <c r="A25" s="6" t="s">
        <v>67</v>
      </c>
      <c r="B25" s="1">
        <f>CEILING('мойки для партнеров'!B25*(1+'мойки с накруткой'!$S$2),100)</f>
        <v>11000</v>
      </c>
      <c r="C25" s="1">
        <f>CEILING('мойки для партнеров'!C25*(1+'мойки с накруткой'!$S$2),100)</f>
        <v>11000</v>
      </c>
      <c r="D25" s="1">
        <f>CEILING('мойки для партнеров'!D25*(1+'мойки с накруткой'!$S$2),100)</f>
        <v>11000</v>
      </c>
      <c r="E25" s="1">
        <f>CEILING('мойки для партнеров'!E25*(1+'мойки с накруткой'!$S$2),100)</f>
        <v>11100</v>
      </c>
      <c r="F25" s="1">
        <f>CEILING('мойки для партнеров'!F25*(1+'мойки с накруткой'!$S$2),100)</f>
        <v>11100</v>
      </c>
      <c r="G25" s="1">
        <f>CEILING('мойки для партнеров'!G25*(1+'мойки с накруткой'!$S$2),100)</f>
        <v>11100</v>
      </c>
      <c r="H25" s="1">
        <f>CEILING('мойки для партнеров'!H25*(1+'мойки с накруткой'!$S$2),100)</f>
        <v>22100</v>
      </c>
      <c r="I25" s="1">
        <f>CEILING('мойки для партнеров'!I25*(1+'мойки с накруткой'!$S$2),100)</f>
        <v>22100</v>
      </c>
      <c r="J25" s="1">
        <f>CEILING('мойки для партнеров'!J25*(1+'мойки с накруткой'!$S$2),100)</f>
        <v>22100</v>
      </c>
      <c r="K25" s="1">
        <f>CEILING('мойки для партнеров'!K25*(1+'мойки с накруткой'!$S$2),100)</f>
        <v>22000</v>
      </c>
      <c r="L25" s="1">
        <f>CEILING('мойки для партнеров'!L25*(1+'мойки с накруткой'!$S$2),100)</f>
        <v>22200</v>
      </c>
      <c r="M25" s="1">
        <f>CEILING('мойки для партнеров'!M25*(1+'мойки с накруткой'!$S$2),100)</f>
        <v>10900</v>
      </c>
      <c r="N25" s="1">
        <f>CEILING('мойки для партнеров'!N25*(1+'мойки с накруткой'!$S$2),100)</f>
        <v>10900</v>
      </c>
      <c r="O25" s="1">
        <f>CEILING('мойки для партнеров'!O25*(1+'мойки с накруткой'!$S$2),100)</f>
        <v>10900</v>
      </c>
      <c r="P25" s="28">
        <v>0</v>
      </c>
    </row>
    <row r="26" spans="1:16" x14ac:dyDescent="0.25">
      <c r="A26" s="6" t="s">
        <v>68</v>
      </c>
      <c r="B26" s="1">
        <f>CEILING('мойки для партнеров'!B26*(1+'мойки с накруткой'!$S$2),100)</f>
        <v>11000</v>
      </c>
      <c r="C26" s="1">
        <f>CEILING('мойки для партнеров'!C26*(1+'мойки с накруткой'!$S$2),100)</f>
        <v>11100</v>
      </c>
      <c r="D26" s="1">
        <f>CEILING('мойки для партнеров'!D26*(1+'мойки с накруткой'!$S$2),100)</f>
        <v>11100</v>
      </c>
      <c r="E26" s="1">
        <f>CEILING('мойки для партнеров'!E26*(1+'мойки с накруткой'!$S$2),100)</f>
        <v>11200</v>
      </c>
      <c r="F26" s="1">
        <f>CEILING('мойки для партнеров'!F26*(1+'мойки с накруткой'!$S$2),100)</f>
        <v>11200</v>
      </c>
      <c r="G26" s="1">
        <f>CEILING('мойки для партнеров'!G26*(1+'мойки с накруткой'!$S$2),100)</f>
        <v>11200</v>
      </c>
      <c r="H26" s="1">
        <f>CEILING('мойки для партнеров'!H26*(1+'мойки с накруткой'!$S$2),100)</f>
        <v>22200</v>
      </c>
      <c r="I26" s="1">
        <f>CEILING('мойки для партнеров'!I26*(1+'мойки с накруткой'!$S$2),100)</f>
        <v>22300</v>
      </c>
      <c r="J26" s="1">
        <f>CEILING('мойки для партнеров'!J26*(1+'мойки с накруткой'!$S$2),100)</f>
        <v>22300</v>
      </c>
      <c r="K26" s="1">
        <f>CEILING('мойки для партнеров'!K26*(1+'мойки с накруткой'!$S$2),100)</f>
        <v>22200</v>
      </c>
      <c r="L26" s="1">
        <f>CEILING('мойки для партнеров'!L26*(1+'мойки с накруткой'!$S$2),100)</f>
        <v>22400</v>
      </c>
      <c r="M26" s="1">
        <f>CEILING('мойки для партнеров'!M26*(1+'мойки с накруткой'!$S$2),100)</f>
        <v>10900</v>
      </c>
      <c r="N26" s="1">
        <f>CEILING('мойки для партнеров'!N26*(1+'мойки с накруткой'!$S$2),100)</f>
        <v>10900</v>
      </c>
      <c r="O26" s="1">
        <f>CEILING('мойки для партнеров'!O26*(1+'мойки с накруткой'!$S$2),100)</f>
        <v>10900</v>
      </c>
      <c r="P26" s="28">
        <v>0</v>
      </c>
    </row>
    <row r="27" spans="1:16" x14ac:dyDescent="0.25">
      <c r="A27" s="170" t="s">
        <v>69</v>
      </c>
      <c r="B27" s="1">
        <f>CEILING('мойки для партнеров'!B27*(1+'мойки с накруткой'!$S$2),100)</f>
        <v>11400</v>
      </c>
      <c r="C27" s="1">
        <f>CEILING('мойки для партнеров'!C27*(1+'мойки с накруткой'!$S$2),100)</f>
        <v>11400</v>
      </c>
      <c r="D27" s="1">
        <f>CEILING('мойки для партнеров'!D27*(1+'мойки с накруткой'!$S$2),100)</f>
        <v>11500</v>
      </c>
      <c r="E27" s="1">
        <f>CEILING('мойки для партнеров'!E27*(1+'мойки с накруткой'!$S$2),100)</f>
        <v>11600</v>
      </c>
      <c r="F27" s="1">
        <f>CEILING('мойки для партнеров'!F27*(1+'мойки с накруткой'!$S$2),100)</f>
        <v>11700</v>
      </c>
      <c r="G27" s="1">
        <f>CEILING('мойки для партнеров'!G27*(1+'мойки с накруткой'!$S$2),100)</f>
        <v>11600</v>
      </c>
      <c r="H27" s="1">
        <f>CEILING('мойки для партнеров'!H27*(1+'мойки с накруткой'!$S$2),100)</f>
        <v>23100</v>
      </c>
      <c r="I27" s="1">
        <f>CEILING('мойки для партнеров'!I27*(1+'мойки с накруткой'!$S$2),100)</f>
        <v>23200</v>
      </c>
      <c r="J27" s="1">
        <f>CEILING('мойки для партнеров'!J27*(1+'мойки с накруткой'!$S$2),100)</f>
        <v>23200</v>
      </c>
      <c r="K27" s="1">
        <f>CEILING('мойки для партнеров'!K27*(1+'мойки с накруткой'!$S$2),100)</f>
        <v>23000</v>
      </c>
      <c r="L27" s="1">
        <f>CEILING('мойки для партнеров'!L27*(1+'мойки с накруткой'!$S$2),100)</f>
        <v>23300</v>
      </c>
      <c r="M27" s="1">
        <f>CEILING('мойки для партнеров'!M27*(1+'мойки с накруткой'!$S$2),100)</f>
        <v>11200</v>
      </c>
      <c r="N27" s="1">
        <f>CEILING('мойки для партнеров'!N27*(1+'мойки с накруткой'!$S$2),100)</f>
        <v>11200</v>
      </c>
      <c r="O27" s="1">
        <f>CEILING('мойки для партнеров'!O27*(1+'мойки с накруткой'!$S$2),100)</f>
        <v>11200</v>
      </c>
      <c r="P27" s="28">
        <v>0</v>
      </c>
    </row>
    <row r="28" spans="1:16" x14ac:dyDescent="0.25">
      <c r="A28" s="6" t="s">
        <v>70</v>
      </c>
      <c r="B28" s="1">
        <f>CEILING('мойки для партнеров'!B28*(1+'мойки с накруткой'!$S$2),100)</f>
        <v>11000</v>
      </c>
      <c r="C28" s="1">
        <f>CEILING('мойки для партнеров'!C28*(1+'мойки с накруткой'!$S$2),100)</f>
        <v>11000</v>
      </c>
      <c r="D28" s="1">
        <f>CEILING('мойки для партнеров'!D28*(1+'мойки с накруткой'!$S$2),100)</f>
        <v>11000</v>
      </c>
      <c r="E28" s="1">
        <f>CEILING('мойки для партнеров'!E28*(1+'мойки с накруткой'!$S$2),100)</f>
        <v>11100</v>
      </c>
      <c r="F28" s="1">
        <f>CEILING('мойки для партнеров'!F28*(1+'мойки с накруткой'!$S$2),100)</f>
        <v>11100</v>
      </c>
      <c r="G28" s="1">
        <f>CEILING('мойки для партнеров'!G28*(1+'мойки с накруткой'!$S$2),100)</f>
        <v>11100</v>
      </c>
      <c r="H28" s="1">
        <f>CEILING('мойки для партнеров'!H28*(1+'мойки с накруткой'!$S$2),100)</f>
        <v>22100</v>
      </c>
      <c r="I28" s="1">
        <f>CEILING('мойки для партнеров'!I28*(1+'мойки с накруткой'!$S$2),100)</f>
        <v>22100</v>
      </c>
      <c r="J28" s="1">
        <f>CEILING('мойки для партнеров'!J28*(1+'мойки с накруткой'!$S$2),100)</f>
        <v>22100</v>
      </c>
      <c r="K28" s="1">
        <f>CEILING('мойки для партнеров'!K28*(1+'мойки с накруткой'!$S$2),100)</f>
        <v>22000</v>
      </c>
      <c r="L28" s="1">
        <f>CEILING('мойки для партнеров'!L28*(1+'мойки с накруткой'!$S$2),100)</f>
        <v>22200</v>
      </c>
      <c r="M28" s="1">
        <f>CEILING('мойки для партнеров'!M28*(1+'мойки с накруткой'!$S$2),100)</f>
        <v>10900</v>
      </c>
      <c r="N28" s="1">
        <f>CEILING('мойки для партнеров'!N28*(1+'мойки с накруткой'!$S$2),100)</f>
        <v>10900</v>
      </c>
      <c r="O28" s="1">
        <f>CEILING('мойки для партнеров'!O28*(1+'мойки с накруткой'!$S$2),100)</f>
        <v>10900</v>
      </c>
      <c r="P28" s="28">
        <v>0</v>
      </c>
    </row>
    <row r="29" spans="1:16" x14ac:dyDescent="0.25">
      <c r="A29" s="36" t="s">
        <v>198</v>
      </c>
      <c r="B29" s="1">
        <f>CEILING('мойки для партнеров'!B29*(1+'мойки с накруткой'!$S$2),100)</f>
        <v>11000</v>
      </c>
      <c r="C29" s="1">
        <f>CEILING('мойки для партнеров'!C29*(1+'мойки с накруткой'!$S$2),100)</f>
        <v>11100</v>
      </c>
      <c r="D29" s="1">
        <f>CEILING('мойки для партнеров'!D29*(1+'мойки с накруткой'!$S$2),100)</f>
        <v>11100</v>
      </c>
      <c r="E29" s="1">
        <f>CEILING('мойки для партнеров'!E29*(1+'мойки с накруткой'!$S$2),100)</f>
        <v>11200</v>
      </c>
      <c r="F29" s="1">
        <f>CEILING('мойки для партнеров'!F29*(1+'мойки с накруткой'!$S$2),100)</f>
        <v>11200</v>
      </c>
      <c r="G29" s="1">
        <f>CEILING('мойки для партнеров'!G29*(1+'мойки с накруткой'!$S$2),100)</f>
        <v>11200</v>
      </c>
      <c r="H29" s="1">
        <f>CEILING('мойки для партнеров'!H29*(1+'мойки с накруткой'!$S$2),100)</f>
        <v>22200</v>
      </c>
      <c r="I29" s="1">
        <f>CEILING('мойки для партнеров'!I29*(1+'мойки с накруткой'!$S$2),100)</f>
        <v>22300</v>
      </c>
      <c r="J29" s="1">
        <f>CEILING('мойки для партнеров'!J29*(1+'мойки с накруткой'!$S$2),100)</f>
        <v>22300</v>
      </c>
      <c r="K29" s="1">
        <f>CEILING('мойки для партнеров'!K29*(1+'мойки с накруткой'!$S$2),100)</f>
        <v>22200</v>
      </c>
      <c r="L29" s="1">
        <f>CEILING('мойки для партнеров'!L29*(1+'мойки с накруткой'!$S$2),100)</f>
        <v>22300</v>
      </c>
      <c r="M29" s="1">
        <f>CEILING('мойки для партнеров'!M29*(1+'мойки с накруткой'!$S$2),100)</f>
        <v>10900</v>
      </c>
      <c r="N29" s="1">
        <f>CEILING('мойки для партнеров'!N29*(1+'мойки с накруткой'!$S$2),100)</f>
        <v>10900</v>
      </c>
      <c r="O29" s="1">
        <f>CEILING('мойки для партнеров'!O29*(1+'мойки с накруткой'!$S$2),100)</f>
        <v>10900</v>
      </c>
      <c r="P29" s="28">
        <v>0</v>
      </c>
    </row>
    <row r="30" spans="1:16" x14ac:dyDescent="0.25">
      <c r="A30" s="36" t="s">
        <v>199</v>
      </c>
      <c r="B30" s="1">
        <f>CEILING('мойки для партнеров'!B30*(1+'мойки с накруткой'!$S$2),100)</f>
        <v>11100</v>
      </c>
      <c r="C30" s="1">
        <f>CEILING('мойки для партнеров'!C30*(1+'мойки с накруткой'!$S$2),100)</f>
        <v>11100</v>
      </c>
      <c r="D30" s="1">
        <f>CEILING('мойки для партнеров'!D30*(1+'мойки с накруткой'!$S$2),100)</f>
        <v>11200</v>
      </c>
      <c r="E30" s="1">
        <f>CEILING('мойки для партнеров'!E30*(1+'мойки с накруткой'!$S$2),100)</f>
        <v>11200</v>
      </c>
      <c r="F30" s="1">
        <f>CEILING('мойки для партнеров'!F30*(1+'мойки с накруткой'!$S$2),100)</f>
        <v>11300</v>
      </c>
      <c r="G30" s="1">
        <f>CEILING('мойки для партнеров'!G30*(1+'мойки с накруткой'!$S$2),100)</f>
        <v>11200</v>
      </c>
      <c r="H30" s="1">
        <f>CEILING('мойки для партнеров'!H30*(1+'мойки с накруткой'!$S$2),100)</f>
        <v>22300</v>
      </c>
      <c r="I30" s="1">
        <f>CEILING('мойки для партнеров'!I30*(1+'мойки с накруткой'!$S$2),100)</f>
        <v>22400</v>
      </c>
      <c r="J30" s="1">
        <f>CEILING('мойки для партнеров'!J30*(1+'мойки с накруткой'!$S$2),100)</f>
        <v>22400</v>
      </c>
      <c r="K30" s="1">
        <f>CEILING('мойки для партнеров'!K30*(1+'мойки с накруткой'!$S$2),100)</f>
        <v>22300</v>
      </c>
      <c r="L30" s="1">
        <f>CEILING('мойки для партнеров'!L30*(1+'мойки с накруткой'!$S$2),100)</f>
        <v>22500</v>
      </c>
      <c r="M30" s="1">
        <f>CEILING('мойки для партнеров'!M30*(1+'мойки с накруткой'!$S$2),100)</f>
        <v>11000</v>
      </c>
      <c r="N30" s="1">
        <f>CEILING('мойки для партнеров'!N30*(1+'мойки с накруткой'!$S$2),100)</f>
        <v>11000</v>
      </c>
      <c r="O30" s="1">
        <f>CEILING('мойки для партнеров'!O30*(1+'мойки с накруткой'!$S$2),100)</f>
        <v>11000</v>
      </c>
      <c r="P30" s="28">
        <v>0</v>
      </c>
    </row>
    <row r="31" spans="1:16" x14ac:dyDescent="0.25">
      <c r="A31" s="10" t="s">
        <v>30</v>
      </c>
      <c r="B31" s="1">
        <f>CEILING('мойки для партнеров'!B31*(1+'мойки с накруткой'!$S$2),100)</f>
        <v>11200</v>
      </c>
      <c r="C31" s="1">
        <f>CEILING('мойки для партнеров'!C31*(1+'мойки с накруткой'!$S$2),100)</f>
        <v>11300</v>
      </c>
      <c r="D31" s="1">
        <f>CEILING('мойки для партнеров'!D31*(1+'мойки с накруткой'!$S$2),100)</f>
        <v>11300</v>
      </c>
      <c r="E31" s="1">
        <f>CEILING('мойки для партнеров'!E31*(1+'мойки с накруткой'!$S$2),100)</f>
        <v>11400</v>
      </c>
      <c r="F31" s="1">
        <f>CEILING('мойки для партнеров'!F31*(1+'мойки с накруткой'!$S$2),100)</f>
        <v>11500</v>
      </c>
      <c r="G31" s="1">
        <f>CEILING('мойки для партнеров'!G31*(1+'мойки с накруткой'!$S$2),100)</f>
        <v>11400</v>
      </c>
      <c r="H31" s="1">
        <f>CEILING('мойки для партнеров'!H31*(1+'мойки с накруткой'!$S$2),100)</f>
        <v>22700</v>
      </c>
      <c r="I31" s="1">
        <f>CEILING('мойки для партнеров'!I31*(1+'мойки с накруткой'!$S$2),100)</f>
        <v>22700</v>
      </c>
      <c r="J31" s="1">
        <f>CEILING('мойки для партнеров'!J31*(1+'мойки с накруткой'!$S$2),100)</f>
        <v>22700</v>
      </c>
      <c r="K31" s="1">
        <f>CEILING('мойки для партнеров'!K31*(1+'мойки с накруткой'!$S$2),100)</f>
        <v>22600</v>
      </c>
      <c r="L31" s="1">
        <f>CEILING('мойки для партнеров'!L31*(1+'мойки с накруткой'!$S$2),100)</f>
        <v>22900</v>
      </c>
      <c r="M31" s="1">
        <f>CEILING('мойки для партнеров'!M31*(1+'мойки с накруткой'!$S$2),100)</f>
        <v>11100</v>
      </c>
      <c r="N31" s="1">
        <f>CEILING('мойки для партнеров'!N31*(1+'мойки с накруткой'!$S$2),100)</f>
        <v>11100</v>
      </c>
      <c r="O31" s="1">
        <f>CEILING('мойки для партнеров'!O31*(1+'мойки с накруткой'!$S$2),100)</f>
        <v>11100</v>
      </c>
      <c r="P31" s="28">
        <v>0</v>
      </c>
    </row>
    <row r="32" spans="1:16" x14ac:dyDescent="0.25">
      <c r="A32" s="10" t="s">
        <v>31</v>
      </c>
      <c r="B32" s="1">
        <f>CEILING('мойки для партнеров'!B32*(1+'мойки с накруткой'!$S$2),100)</f>
        <v>11200</v>
      </c>
      <c r="C32" s="1">
        <f>CEILING('мойки для партнеров'!C32*(1+'мойки с накруткой'!$S$2),100)</f>
        <v>11300</v>
      </c>
      <c r="D32" s="1">
        <f>CEILING('мойки для партнеров'!D32*(1+'мойки с накруткой'!$S$2),100)</f>
        <v>11300</v>
      </c>
      <c r="E32" s="1">
        <f>CEILING('мойки для партнеров'!E32*(1+'мойки с накруткой'!$S$2),100)</f>
        <v>11400</v>
      </c>
      <c r="F32" s="1">
        <f>CEILING('мойки для партнеров'!F32*(1+'мойки с накруткой'!$S$2),100)</f>
        <v>11500</v>
      </c>
      <c r="G32" s="1">
        <f>CEILING('мойки для партнеров'!G32*(1+'мойки с накруткой'!$S$2),100)</f>
        <v>11400</v>
      </c>
      <c r="H32" s="1">
        <f>CEILING('мойки для партнеров'!H32*(1+'мойки с накруткой'!$S$2),100)</f>
        <v>22700</v>
      </c>
      <c r="I32" s="1">
        <f>CEILING('мойки для партнеров'!I32*(1+'мойки с накруткой'!$S$2),100)</f>
        <v>22700</v>
      </c>
      <c r="J32" s="1">
        <f>CEILING('мойки для партнеров'!J32*(1+'мойки с накруткой'!$S$2),100)</f>
        <v>22700</v>
      </c>
      <c r="K32" s="1">
        <f>CEILING('мойки для партнеров'!K32*(1+'мойки с накруткой'!$S$2),100)</f>
        <v>22600</v>
      </c>
      <c r="L32" s="1">
        <f>CEILING('мойки для партнеров'!L32*(1+'мойки с накруткой'!$S$2),100)</f>
        <v>22900</v>
      </c>
      <c r="M32" s="1">
        <f>CEILING('мойки для партнеров'!M32*(1+'мойки с накруткой'!$S$2),100)</f>
        <v>11100</v>
      </c>
      <c r="N32" s="1">
        <f>CEILING('мойки для партнеров'!N32*(1+'мойки с накруткой'!$S$2),100)</f>
        <v>11100</v>
      </c>
      <c r="O32" s="1">
        <f>CEILING('мойки для партнеров'!O32*(1+'мойки с накруткой'!$S$2),100)</f>
        <v>11100</v>
      </c>
      <c r="P32" s="28">
        <v>0</v>
      </c>
    </row>
    <row r="33" spans="1:16" x14ac:dyDescent="0.25">
      <c r="A33" s="170" t="s">
        <v>132</v>
      </c>
      <c r="B33" s="1">
        <f>CEILING('мойки для партнеров'!B33*(1+'мойки с накруткой'!$S$2),100)</f>
        <v>11300</v>
      </c>
      <c r="C33" s="1">
        <f>CEILING('мойки для партнеров'!C33*(1+'мойки с накруткой'!$S$2),100)</f>
        <v>11400</v>
      </c>
      <c r="D33" s="1">
        <f>CEILING('мойки для партнеров'!D33*(1+'мойки с накруткой'!$S$2),100)</f>
        <v>11400</v>
      </c>
      <c r="E33" s="1">
        <f>CEILING('мойки для партнеров'!E33*(1+'мойки с накруткой'!$S$2),100)</f>
        <v>11500</v>
      </c>
      <c r="F33" s="1">
        <f>CEILING('мойки для партнеров'!F33*(1+'мойки с накруткой'!$S$2),100)</f>
        <v>11600</v>
      </c>
      <c r="G33" s="1">
        <f>CEILING('мойки для партнеров'!G33*(1+'мойки с накруткой'!$S$2),100)</f>
        <v>11500</v>
      </c>
      <c r="H33" s="1">
        <f>CEILING('мойки для партнеров'!H33*(1+'мойки с накруткой'!$S$2),100)</f>
        <v>22900</v>
      </c>
      <c r="I33" s="1">
        <f>CEILING('мойки для партнеров'!I33*(1+'мойки с накруткой'!$S$2),100)</f>
        <v>23000</v>
      </c>
      <c r="J33" s="1">
        <f>CEILING('мойки для партнеров'!J33*(1+'мойки с накруткой'!$S$2),100)</f>
        <v>23000</v>
      </c>
      <c r="K33" s="1">
        <f>CEILING('мойки для партнеров'!K33*(1+'мойки с накруткой'!$S$2),100)</f>
        <v>22800</v>
      </c>
      <c r="L33" s="1">
        <f>CEILING('мойки для партнеров'!L33*(1+'мойки с накруткой'!$S$2),100)</f>
        <v>23100</v>
      </c>
      <c r="M33" s="1">
        <f>CEILING('мойки для партнеров'!M33*(1+'мойки с накруткой'!$S$2),100)</f>
        <v>11200</v>
      </c>
      <c r="N33" s="1">
        <f>CEILING('мойки для партнеров'!N33*(1+'мойки с накруткой'!$S$2),100)</f>
        <v>11200</v>
      </c>
      <c r="O33" s="1">
        <f>CEILING('мойки для партнеров'!O33*(1+'мойки с накруткой'!$S$2),100)</f>
        <v>11200</v>
      </c>
      <c r="P33" s="28">
        <v>0</v>
      </c>
    </row>
    <row r="34" spans="1:16" x14ac:dyDescent="0.25">
      <c r="A34" s="170" t="s">
        <v>275</v>
      </c>
      <c r="B34" s="1">
        <f>CEILING('мойки для партнеров'!B34*(1+'мойки с накруткой'!$S$2),100)</f>
        <v>11300</v>
      </c>
      <c r="C34" s="1">
        <f>CEILING('мойки для партнеров'!C34*(1+'мойки с накруткой'!$S$2),100)</f>
        <v>11400</v>
      </c>
      <c r="D34" s="1">
        <f>CEILING('мойки для партнеров'!D34*(1+'мойки с накруткой'!$S$2),100)</f>
        <v>11400</v>
      </c>
      <c r="E34" s="1">
        <f>CEILING('мойки для партнеров'!E34*(1+'мойки с накруткой'!$S$2),100)</f>
        <v>11500</v>
      </c>
      <c r="F34" s="1">
        <f>CEILING('мойки для партнеров'!F34*(1+'мойки с накруткой'!$S$2),100)</f>
        <v>11600</v>
      </c>
      <c r="G34" s="1">
        <f>CEILING('мойки для партнеров'!G34*(1+'мойки с накруткой'!$S$2),100)</f>
        <v>11500</v>
      </c>
      <c r="H34" s="1">
        <f>CEILING('мойки для партнеров'!H34*(1+'мойки с накруткой'!$S$2),100)</f>
        <v>22900</v>
      </c>
      <c r="I34" s="1">
        <f>CEILING('мойки для партнеров'!I34*(1+'мойки с накруткой'!$S$2),100)</f>
        <v>23000</v>
      </c>
      <c r="J34" s="1">
        <f>CEILING('мойки для партнеров'!J34*(1+'мойки с накруткой'!$S$2),100)</f>
        <v>23000</v>
      </c>
      <c r="K34" s="1">
        <f>CEILING('мойки для партнеров'!K34*(1+'мойки с накруткой'!$S$2),100)</f>
        <v>22800</v>
      </c>
      <c r="L34" s="1">
        <f>CEILING('мойки для партнеров'!L34*(1+'мойки с накруткой'!$S$2),100)</f>
        <v>23100</v>
      </c>
      <c r="M34" s="1">
        <f>CEILING('мойки для партнеров'!M34*(1+'мойки с накруткой'!$S$2),100)</f>
        <v>11200</v>
      </c>
      <c r="N34" s="1">
        <f>CEILING('мойки для партнеров'!N34*(1+'мойки с накруткой'!$S$2),100)</f>
        <v>11200</v>
      </c>
      <c r="O34" s="1">
        <f>CEILING('мойки для партнеров'!O34*(1+'мойки с накруткой'!$S$2),100)</f>
        <v>11200</v>
      </c>
      <c r="P34" s="28">
        <v>0</v>
      </c>
    </row>
    <row r="35" spans="1:16" x14ac:dyDescent="0.25">
      <c r="A35" s="6" t="s">
        <v>26</v>
      </c>
      <c r="B35" s="1">
        <f>CEILING('мойки для партнеров'!B35*(1+'мойки с накруткой'!$S$2),100)</f>
        <v>11000</v>
      </c>
      <c r="C35" s="1">
        <f>CEILING('мойки для партнеров'!C35*(1+'мойки с накруткой'!$S$2),100)</f>
        <v>11000</v>
      </c>
      <c r="D35" s="1">
        <f>CEILING('мойки для партнеров'!D35*(1+'мойки с накруткой'!$S$2),100)</f>
        <v>11100</v>
      </c>
      <c r="E35" s="1">
        <f>CEILING('мойки для партнеров'!E35*(1+'мойки с накруткой'!$S$2),100)</f>
        <v>11100</v>
      </c>
      <c r="F35" s="1">
        <f>CEILING('мойки для партнеров'!F35*(1+'мойки с накруткой'!$S$2),100)</f>
        <v>11200</v>
      </c>
      <c r="G35" s="1">
        <f>CEILING('мойки для партнеров'!G35*(1+'мойки с накруткой'!$S$2),100)</f>
        <v>11100</v>
      </c>
      <c r="H35" s="1">
        <f>CEILING('мойки для партнеров'!H35*(1+'мойки с накруткой'!$S$2),100)</f>
        <v>22200</v>
      </c>
      <c r="I35" s="1">
        <f>CEILING('мойки для партнеров'!I35*(1+'мойки с накруткой'!$S$2),100)</f>
        <v>22200</v>
      </c>
      <c r="J35" s="1">
        <f>CEILING('мойки для партнеров'!J35*(1+'мойки с накруткой'!$S$2),100)</f>
        <v>22200</v>
      </c>
      <c r="K35" s="1">
        <f>CEILING('мойки для партнеров'!K35*(1+'мойки с накруткой'!$S$2),100)</f>
        <v>22100</v>
      </c>
      <c r="L35" s="1">
        <f>CEILING('мойки для партнеров'!L35*(1+'мойки с накруткой'!$S$2),100)</f>
        <v>22300</v>
      </c>
      <c r="M35" s="1">
        <f>CEILING('мойки для партнеров'!M35*(1+'мойки с накруткой'!$S$2),100)</f>
        <v>10900</v>
      </c>
      <c r="N35" s="1">
        <f>CEILING('мойки для партнеров'!N35*(1+'мойки с накруткой'!$S$2),100)</f>
        <v>10900</v>
      </c>
      <c r="O35" s="1">
        <f>CEILING('мойки для партнеров'!O35*(1+'мойки с накруткой'!$S$2),100)</f>
        <v>10900</v>
      </c>
      <c r="P35" s="28">
        <v>0</v>
      </c>
    </row>
    <row r="36" spans="1:16" x14ac:dyDescent="0.25">
      <c r="A36" s="6" t="s">
        <v>27</v>
      </c>
      <c r="B36" s="1">
        <f>CEILING('мойки для партнеров'!B36*(1+'мойки с накруткой'!$S$2),100)</f>
        <v>11000</v>
      </c>
      <c r="C36" s="1">
        <f>CEILING('мойки для партнеров'!C36*(1+'мойки с накруткой'!$S$2),100)</f>
        <v>11100</v>
      </c>
      <c r="D36" s="1">
        <f>CEILING('мойки для партнеров'!D36*(1+'мойки с накруткой'!$S$2),100)</f>
        <v>11100</v>
      </c>
      <c r="E36" s="1">
        <f>CEILING('мойки для партнеров'!E36*(1+'мойки с накруткой'!$S$2),100)</f>
        <v>11200</v>
      </c>
      <c r="F36" s="1">
        <f>CEILING('мойки для партнеров'!F36*(1+'мойки с накруткой'!$S$2),100)</f>
        <v>11200</v>
      </c>
      <c r="G36" s="1">
        <f>CEILING('мойки для партнеров'!G36*(1+'мойки с накруткой'!$S$2),100)</f>
        <v>11200</v>
      </c>
      <c r="H36" s="1">
        <f>CEILING('мойки для партнеров'!H36*(1+'мойки с накруткой'!$S$2),100)</f>
        <v>22300</v>
      </c>
      <c r="I36" s="1">
        <f>CEILING('мойки для партнеров'!I36*(1+'мойки с накруткой'!$S$2),100)</f>
        <v>22300</v>
      </c>
      <c r="J36" s="1">
        <f>CEILING('мойки для партнеров'!J36*(1+'мойки с накруткой'!$S$2),100)</f>
        <v>22300</v>
      </c>
      <c r="K36" s="1">
        <f>CEILING('мойки для партнеров'!K36*(1+'мойки с накруткой'!$S$2),100)</f>
        <v>22200</v>
      </c>
      <c r="L36" s="1">
        <f>CEILING('мойки для партнеров'!L36*(1+'мойки с накруткой'!$S$2),100)</f>
        <v>22400</v>
      </c>
      <c r="M36" s="1">
        <f>CEILING('мойки для партнеров'!M36*(1+'мойки с накруткой'!$S$2),100)</f>
        <v>11000</v>
      </c>
      <c r="N36" s="1">
        <f>CEILING('мойки для партнеров'!N36*(1+'мойки с накруткой'!$S$2),100)</f>
        <v>11000</v>
      </c>
      <c r="O36" s="1">
        <f>CEILING('мойки для партнеров'!O36*(1+'мойки с накруткой'!$S$2),100)</f>
        <v>11000</v>
      </c>
      <c r="P36" s="28">
        <v>0</v>
      </c>
    </row>
    <row r="37" spans="1:16" x14ac:dyDescent="0.25">
      <c r="A37" s="6" t="s">
        <v>28</v>
      </c>
      <c r="B37" s="1">
        <f>CEILING('мойки для партнеров'!B37*(1+'мойки с накруткой'!$S$2),100)</f>
        <v>11100</v>
      </c>
      <c r="C37" s="1">
        <f>CEILING('мойки для партнеров'!C37*(1+'мойки с накруткой'!$S$2),100)</f>
        <v>11100</v>
      </c>
      <c r="D37" s="1">
        <f>CEILING('мойки для партнеров'!D37*(1+'мойки с накруткой'!$S$2),100)</f>
        <v>11200</v>
      </c>
      <c r="E37" s="1">
        <f>CEILING('мойки для партнеров'!E37*(1+'мойки с накруткой'!$S$2),100)</f>
        <v>11200</v>
      </c>
      <c r="F37" s="1">
        <f>CEILING('мойки для партнеров'!F37*(1+'мойки с накруткой'!$S$2),100)</f>
        <v>11300</v>
      </c>
      <c r="G37" s="1">
        <f>CEILING('мойки для партнеров'!G37*(1+'мойки с накруткой'!$S$2),100)</f>
        <v>11200</v>
      </c>
      <c r="H37" s="1">
        <f>CEILING('мойки для партнеров'!H37*(1+'мойки с накруткой'!$S$2),100)</f>
        <v>22300</v>
      </c>
      <c r="I37" s="1">
        <f>CEILING('мойки для партнеров'!I37*(1+'мойки с накруткой'!$S$2),100)</f>
        <v>22400</v>
      </c>
      <c r="J37" s="1">
        <f>CEILING('мойки для партнеров'!J37*(1+'мойки с накруткой'!$S$2),100)</f>
        <v>22400</v>
      </c>
      <c r="K37" s="1">
        <f>CEILING('мойки для партнеров'!K37*(1+'мойки с накруткой'!$S$2),100)</f>
        <v>22300</v>
      </c>
      <c r="L37" s="1">
        <f>CEILING('мойки для партнеров'!L37*(1+'мойки с накруткой'!$S$2),100)</f>
        <v>22500</v>
      </c>
      <c r="M37" s="1">
        <f>CEILING('мойки для партнеров'!M37*(1+'мойки с накруткой'!$S$2),100)</f>
        <v>11000</v>
      </c>
      <c r="N37" s="1">
        <f>CEILING('мойки для партнеров'!N37*(1+'мойки с накруткой'!$S$2),100)</f>
        <v>11000</v>
      </c>
      <c r="O37" s="1">
        <f>CEILING('мойки для партнеров'!O37*(1+'мойки с накруткой'!$S$2),100)</f>
        <v>11000</v>
      </c>
      <c r="P37" s="28">
        <v>0</v>
      </c>
    </row>
    <row r="38" spans="1:16" x14ac:dyDescent="0.25">
      <c r="A38" s="6" t="s">
        <v>29</v>
      </c>
      <c r="B38" s="1">
        <f>CEILING('мойки для партнеров'!B38*(1+'мойки с накруткой'!$S$2),100)</f>
        <v>11100</v>
      </c>
      <c r="C38" s="1">
        <f>CEILING('мойки для партнеров'!C38*(1+'мойки с накруткой'!$S$2),100)</f>
        <v>11100</v>
      </c>
      <c r="D38" s="1">
        <f>CEILING('мойки для партнеров'!D38*(1+'мойки с накруткой'!$S$2),100)</f>
        <v>11200</v>
      </c>
      <c r="E38" s="1">
        <f>CEILING('мойки для партнеров'!E38*(1+'мойки с накруткой'!$S$2),100)</f>
        <v>11300</v>
      </c>
      <c r="F38" s="1">
        <f>CEILING('мойки для партнеров'!F38*(1+'мойки с накруткой'!$S$2),100)</f>
        <v>11300</v>
      </c>
      <c r="G38" s="1">
        <f>CEILING('мойки для партнеров'!G38*(1+'мойки с накруткой'!$S$2),100)</f>
        <v>11300</v>
      </c>
      <c r="H38" s="1">
        <f>CEILING('мойки для партнеров'!H38*(1+'мойки с накруткой'!$S$2),100)</f>
        <v>22400</v>
      </c>
      <c r="I38" s="1">
        <f>CEILING('мойки для партнеров'!I38*(1+'мойки с накруткой'!$S$2),100)</f>
        <v>22500</v>
      </c>
      <c r="J38" s="1">
        <f>CEILING('мойки для партнеров'!J38*(1+'мойки с накруткой'!$S$2),100)</f>
        <v>22500</v>
      </c>
      <c r="K38" s="1">
        <f>CEILING('мойки для партнеров'!K38*(1+'мойки с накруткой'!$S$2),100)</f>
        <v>22300</v>
      </c>
      <c r="L38" s="1">
        <f>CEILING('мойки для партнеров'!L38*(1+'мойки с накруткой'!$S$2),100)</f>
        <v>22600</v>
      </c>
      <c r="M38" s="1">
        <f>CEILING('мойки для партнеров'!M38*(1+'мойки с накруткой'!$S$2),100)</f>
        <v>11000</v>
      </c>
      <c r="N38" s="1">
        <f>CEILING('мойки для партнеров'!N38*(1+'мойки с накруткой'!$S$2),100)</f>
        <v>11000</v>
      </c>
      <c r="O38" s="1">
        <f>CEILING('мойки для партнеров'!O38*(1+'мойки с накруткой'!$S$2),100)</f>
        <v>11000</v>
      </c>
      <c r="P38" s="28">
        <v>0</v>
      </c>
    </row>
    <row r="39" spans="1:16" x14ac:dyDescent="0.25">
      <c r="A39" s="6" t="s">
        <v>193</v>
      </c>
      <c r="B39" s="1">
        <f>CEILING('мойки для партнеров'!B39*(1+'мойки с накруткой'!$S$2),100)</f>
        <v>11100</v>
      </c>
      <c r="C39" s="1">
        <f>CEILING('мойки для партнеров'!C39*(1+'мойки с накруткой'!$S$2),100)</f>
        <v>11200</v>
      </c>
      <c r="D39" s="1">
        <f>CEILING('мойки для партнеров'!D39*(1+'мойки с накруткой'!$S$2),100)</f>
        <v>11300</v>
      </c>
      <c r="E39" s="1">
        <f>CEILING('мойки для партнеров'!E39*(1+'мойки с накруткой'!$S$2),100)</f>
        <v>11300</v>
      </c>
      <c r="F39" s="1">
        <f>CEILING('мойки для партнеров'!F39*(1+'мойки с накруткой'!$S$2),100)</f>
        <v>11400</v>
      </c>
      <c r="G39" s="1">
        <f>CEILING('мойки для партнеров'!G39*(1+'мойки с накруткой'!$S$2),100)</f>
        <v>11300</v>
      </c>
      <c r="H39" s="1">
        <f>CEILING('мойки для партнеров'!H39*(1+'мойки с накруткой'!$S$2),100)</f>
        <v>22500</v>
      </c>
      <c r="I39" s="1">
        <f>CEILING('мойки для партнеров'!I39*(1+'мойки с накруткой'!$S$2),100)</f>
        <v>22600</v>
      </c>
      <c r="J39" s="1">
        <f>CEILING('мойки для партнеров'!J39*(1+'мойки с накруткой'!$S$2),100)</f>
        <v>22600</v>
      </c>
      <c r="K39" s="1">
        <f>CEILING('мойки для партнеров'!K39*(1+'мойки с накруткой'!$S$2),100)</f>
        <v>22500</v>
      </c>
      <c r="L39" s="1">
        <f>CEILING('мойки для партнеров'!L39*(1+'мойки с накруткой'!$S$2),100)</f>
        <v>22700</v>
      </c>
      <c r="M39" s="1">
        <f>CEILING('мойки для партнеров'!M39*(1+'мойки с накруткой'!$S$2),100)</f>
        <v>11100</v>
      </c>
      <c r="N39" s="1">
        <f>CEILING('мойки для партнеров'!N39*(1+'мойки с накруткой'!$S$2),100)</f>
        <v>11100</v>
      </c>
      <c r="O39" s="1">
        <f>CEILING('мойки для партнеров'!O39*(1+'мойки с накруткой'!$S$2),100)</f>
        <v>11100</v>
      </c>
      <c r="P39" s="28">
        <v>0</v>
      </c>
    </row>
    <row r="40" spans="1:16" x14ac:dyDescent="0.25">
      <c r="A40" s="36" t="s">
        <v>194</v>
      </c>
      <c r="B40" s="1">
        <f>CEILING('мойки для партнеров'!B40*(1+'мойки с накруткой'!$S$2),100)</f>
        <v>11200</v>
      </c>
      <c r="C40" s="1">
        <f>CEILING('мойки для партнеров'!C40*(1+'мойки с накруткой'!$S$2),100)</f>
        <v>11300</v>
      </c>
      <c r="D40" s="1">
        <f>CEILING('мойки для партнеров'!D40*(1+'мойки с накруткой'!$S$2),100)</f>
        <v>11400</v>
      </c>
      <c r="E40" s="1">
        <f>CEILING('мойки для партнеров'!E40*(1+'мойки с накруткой'!$S$2),100)</f>
        <v>11400</v>
      </c>
      <c r="F40" s="1">
        <f>CEILING('мойки для партнеров'!F40*(1+'мойки с накруткой'!$S$2),100)</f>
        <v>11500</v>
      </c>
      <c r="G40" s="1">
        <f>CEILING('мойки для партнеров'!G40*(1+'мойки с накруткой'!$S$2),100)</f>
        <v>11400</v>
      </c>
      <c r="H40" s="1">
        <f>CEILING('мойки для партнеров'!H40*(1+'мойки с накруткой'!$S$2),100)</f>
        <v>22700</v>
      </c>
      <c r="I40" s="1">
        <f>CEILING('мойки для партнеров'!I40*(1+'мойки с накруткой'!$S$2),100)</f>
        <v>22800</v>
      </c>
      <c r="J40" s="1">
        <f>CEILING('мойки для партнеров'!J40*(1+'мойки с накруткой'!$S$2),100)</f>
        <v>22800</v>
      </c>
      <c r="K40" s="1">
        <f>CEILING('мойки для партнеров'!K40*(1+'мойки с накруткой'!$S$2),100)</f>
        <v>22700</v>
      </c>
      <c r="L40" s="1">
        <f>CEILING('мойки для партнеров'!L40*(1+'мойки с накруткой'!$S$2),100)</f>
        <v>22900</v>
      </c>
      <c r="M40" s="1">
        <f>CEILING('мойки для партнеров'!M40*(1+'мойки с накруткой'!$S$2),100)</f>
        <v>11100</v>
      </c>
      <c r="N40" s="1">
        <f>CEILING('мойки для партнеров'!N40*(1+'мойки с накруткой'!$S$2),100)</f>
        <v>11100</v>
      </c>
      <c r="O40" s="1">
        <f>CEILING('мойки для партнеров'!O40*(1+'мойки с накруткой'!$S$2),100)</f>
        <v>11100</v>
      </c>
      <c r="P40" s="28">
        <v>0</v>
      </c>
    </row>
    <row r="41" spans="1:16" x14ac:dyDescent="0.25">
      <c r="A41" s="36" t="s">
        <v>195</v>
      </c>
      <c r="B41" s="1">
        <f>CEILING('мойки для партнеров'!B41*(1+'мойки с накруткой'!$S$2),100)</f>
        <v>11300</v>
      </c>
      <c r="C41" s="1">
        <f>CEILING('мойки для партнеров'!C41*(1+'мойки с накруткой'!$S$2),100)</f>
        <v>11300</v>
      </c>
      <c r="D41" s="1">
        <f>CEILING('мойки для партнеров'!D41*(1+'мойки с накруткой'!$S$2),100)</f>
        <v>11400</v>
      </c>
      <c r="E41" s="1">
        <f>CEILING('мойки для партнеров'!E41*(1+'мойки с накруткой'!$S$2),100)</f>
        <v>11500</v>
      </c>
      <c r="F41" s="1">
        <f>CEILING('мойки для партнеров'!F41*(1+'мойки с накруткой'!$S$2),100)</f>
        <v>11500</v>
      </c>
      <c r="G41" s="1">
        <f>CEILING('мойки для партнеров'!G41*(1+'мойки с накруткой'!$S$2),100)</f>
        <v>11500</v>
      </c>
      <c r="H41" s="1">
        <f>CEILING('мойки для партнеров'!H41*(1+'мойки с накруткой'!$S$2),100)</f>
        <v>22800</v>
      </c>
      <c r="I41" s="1">
        <f>CEILING('мойки для партнеров'!I41*(1+'мойки с накруткой'!$S$2),100)</f>
        <v>22900</v>
      </c>
      <c r="J41" s="1">
        <f>CEILING('мойки для партнеров'!J41*(1+'мойки с накруткой'!$S$2),100)</f>
        <v>22900</v>
      </c>
      <c r="K41" s="1">
        <f>CEILING('мойки для партнеров'!K41*(1+'мойки с накруткой'!$S$2),100)</f>
        <v>22700</v>
      </c>
      <c r="L41" s="1">
        <f>CEILING('мойки для партнеров'!L41*(1+'мойки с накруткой'!$S$2),100)</f>
        <v>23000</v>
      </c>
      <c r="M41" s="1">
        <f>CEILING('мойки для партнеров'!M41*(1+'мойки с накруткой'!$S$2),100)</f>
        <v>11100</v>
      </c>
      <c r="N41" s="1">
        <f>CEILING('мойки для партнеров'!N41*(1+'мойки с накруткой'!$S$2),100)</f>
        <v>11100</v>
      </c>
      <c r="O41" s="1">
        <f>CEILING('мойки для партнеров'!O41*(1+'мойки с накруткой'!$S$2),100)</f>
        <v>11100</v>
      </c>
      <c r="P41" s="28">
        <v>0</v>
      </c>
    </row>
    <row r="42" spans="1:16" x14ac:dyDescent="0.25">
      <c r="A42" s="6" t="s">
        <v>37</v>
      </c>
      <c r="B42" s="1" t="e">
        <f>CEILING('мойки для партнеров'!B42*(1+'мойки с накруткой'!$S$2),100)</f>
        <v>#VALUE!</v>
      </c>
      <c r="C42" s="1" t="e">
        <f>CEILING('мойки для партнеров'!C42*(1+'мойки с накруткой'!$S$2),100)</f>
        <v>#VALUE!</v>
      </c>
      <c r="D42" s="1" t="e">
        <f>CEILING('мойки для партнеров'!D42*(1+'мойки с накруткой'!$S$2),100)</f>
        <v>#VALUE!</v>
      </c>
      <c r="E42" s="1" t="e">
        <f>CEILING('мойки для партнеров'!E42*(1+'мойки с накруткой'!$S$2),100)</f>
        <v>#VALUE!</v>
      </c>
      <c r="F42" s="1" t="e">
        <f>CEILING('мойки для партнеров'!F42*(1+'мойки с накруткой'!$S$2),100)</f>
        <v>#VALUE!</v>
      </c>
      <c r="G42" s="1" t="e">
        <f>CEILING('мойки для партнеров'!G42*(1+'мойки с накруткой'!$S$2),100)</f>
        <v>#VALUE!</v>
      </c>
      <c r="H42" s="1" t="e">
        <f>CEILING('мойки для партнеров'!H42*(1+'мойки с накруткой'!$S$2),100)</f>
        <v>#VALUE!</v>
      </c>
      <c r="I42" s="1" t="e">
        <f>CEILING('мойки для партнеров'!I42*(1+'мойки с накруткой'!$S$2),100)</f>
        <v>#VALUE!</v>
      </c>
      <c r="J42" s="1" t="e">
        <f>CEILING('мойки для партнеров'!J42*(1+'мойки с накруткой'!$S$2),100)</f>
        <v>#VALUE!</v>
      </c>
      <c r="K42" s="1" t="e">
        <f>CEILING('мойки для партнеров'!K42*(1+'мойки с накруткой'!$S$2),100)</f>
        <v>#VALUE!</v>
      </c>
      <c r="L42" s="1" t="e">
        <f>CEILING('мойки для партнеров'!L42*(1+'мойки с накруткой'!$S$2),100)</f>
        <v>#VALUE!</v>
      </c>
      <c r="M42" s="1" t="e">
        <f>CEILING('мойки для партнеров'!M42*(1+'мойки с накруткой'!$S$2),100)</f>
        <v>#VALUE!</v>
      </c>
      <c r="N42" s="1" t="e">
        <f>CEILING('мойки для партнеров'!N42*(1+'мойки с накруткой'!$S$2),100)</f>
        <v>#VALUE!</v>
      </c>
      <c r="O42" s="1" t="e">
        <f>CEILING('мойки для партнеров'!O42*(1+'мойки с накруткой'!$S$2),100)</f>
        <v>#VALUE!</v>
      </c>
      <c r="P42" s="28">
        <v>0</v>
      </c>
    </row>
    <row r="43" spans="1:16" x14ac:dyDescent="0.25">
      <c r="A43" s="6" t="s">
        <v>38</v>
      </c>
      <c r="B43" s="1" t="e">
        <f>CEILING('мойки для партнеров'!B43*(1+'мойки с накруткой'!$S$2),100)</f>
        <v>#VALUE!</v>
      </c>
      <c r="C43" s="1" t="e">
        <f>CEILING('мойки для партнеров'!C43*(1+'мойки с накруткой'!$S$2),100)</f>
        <v>#VALUE!</v>
      </c>
      <c r="D43" s="1" t="e">
        <f>CEILING('мойки для партнеров'!D43*(1+'мойки с накруткой'!$S$2),100)</f>
        <v>#VALUE!</v>
      </c>
      <c r="E43" s="1" t="e">
        <f>CEILING('мойки для партнеров'!E43*(1+'мойки с накруткой'!$S$2),100)</f>
        <v>#VALUE!</v>
      </c>
      <c r="F43" s="1" t="e">
        <f>CEILING('мойки для партнеров'!F43*(1+'мойки с накруткой'!$S$2),100)</f>
        <v>#VALUE!</v>
      </c>
      <c r="G43" s="1" t="e">
        <f>CEILING('мойки для партнеров'!G43*(1+'мойки с накруткой'!$S$2),100)</f>
        <v>#VALUE!</v>
      </c>
      <c r="H43" s="1" t="e">
        <f>CEILING('мойки для партнеров'!H43*(1+'мойки с накруткой'!$S$2),100)</f>
        <v>#VALUE!</v>
      </c>
      <c r="I43" s="1" t="e">
        <f>CEILING('мойки для партнеров'!I43*(1+'мойки с накруткой'!$S$2),100)</f>
        <v>#VALUE!</v>
      </c>
      <c r="J43" s="1" t="e">
        <f>CEILING('мойки для партнеров'!J43*(1+'мойки с накруткой'!$S$2),100)</f>
        <v>#VALUE!</v>
      </c>
      <c r="K43" s="1" t="e">
        <f>CEILING('мойки для партнеров'!K43*(1+'мойки с накруткой'!$S$2),100)</f>
        <v>#VALUE!</v>
      </c>
      <c r="L43" s="1" t="e">
        <f>CEILING('мойки для партнеров'!L43*(1+'мойки с накруткой'!$S$2),100)</f>
        <v>#VALUE!</v>
      </c>
      <c r="M43" s="1" t="e">
        <f>CEILING('мойки для партнеров'!M43*(1+'мойки с накруткой'!$S$2),100)</f>
        <v>#VALUE!</v>
      </c>
      <c r="N43" s="1" t="e">
        <f>CEILING('мойки для партнеров'!N43*(1+'мойки с накруткой'!$S$2),100)</f>
        <v>#VALUE!</v>
      </c>
      <c r="O43" s="1" t="e">
        <f>CEILING('мойки для партнеров'!O43*(1+'мойки с накруткой'!$S$2),100)</f>
        <v>#VALUE!</v>
      </c>
      <c r="P43" s="28">
        <v>0</v>
      </c>
    </row>
    <row r="44" spans="1:16" x14ac:dyDescent="0.25">
      <c r="A44" s="6" t="s">
        <v>39</v>
      </c>
      <c r="B44" s="1" t="e">
        <f>CEILING('мойки для партнеров'!B44*(1+'мойки с накруткой'!$S$2),100)</f>
        <v>#VALUE!</v>
      </c>
      <c r="C44" s="1" t="e">
        <f>CEILING('мойки для партнеров'!C44*(1+'мойки с накруткой'!$S$2),100)</f>
        <v>#VALUE!</v>
      </c>
      <c r="D44" s="1" t="e">
        <f>CEILING('мойки для партнеров'!D44*(1+'мойки с накруткой'!$S$2),100)</f>
        <v>#VALUE!</v>
      </c>
      <c r="E44" s="1" t="e">
        <f>CEILING('мойки для партнеров'!E44*(1+'мойки с накруткой'!$S$2),100)</f>
        <v>#VALUE!</v>
      </c>
      <c r="F44" s="1" t="e">
        <f>CEILING('мойки для партнеров'!F44*(1+'мойки с накруткой'!$S$2),100)</f>
        <v>#VALUE!</v>
      </c>
      <c r="G44" s="1" t="e">
        <f>CEILING('мойки для партнеров'!G44*(1+'мойки с накруткой'!$S$2),100)</f>
        <v>#VALUE!</v>
      </c>
      <c r="H44" s="1" t="e">
        <f>CEILING('мойки для партнеров'!H44*(1+'мойки с накруткой'!$S$2),100)</f>
        <v>#VALUE!</v>
      </c>
      <c r="I44" s="1" t="e">
        <f>CEILING('мойки для партнеров'!I44*(1+'мойки с накруткой'!$S$2),100)</f>
        <v>#VALUE!</v>
      </c>
      <c r="J44" s="1" t="e">
        <f>CEILING('мойки для партнеров'!J44*(1+'мойки с накруткой'!$S$2),100)</f>
        <v>#VALUE!</v>
      </c>
      <c r="K44" s="1" t="e">
        <f>CEILING('мойки для партнеров'!K44*(1+'мойки с накруткой'!$S$2),100)</f>
        <v>#VALUE!</v>
      </c>
      <c r="L44" s="1" t="e">
        <f>CEILING('мойки для партнеров'!L44*(1+'мойки с накруткой'!$S$2),100)</f>
        <v>#VALUE!</v>
      </c>
      <c r="M44" s="1" t="e">
        <f>CEILING('мойки для партнеров'!M44*(1+'мойки с накруткой'!$S$2),100)</f>
        <v>#VALUE!</v>
      </c>
      <c r="N44" s="1" t="e">
        <f>CEILING('мойки для партнеров'!N44*(1+'мойки с накруткой'!$S$2),100)</f>
        <v>#VALUE!</v>
      </c>
      <c r="O44" s="1" t="e">
        <f>CEILING('мойки для партнеров'!O44*(1+'мойки с накруткой'!$S$2),100)</f>
        <v>#VALUE!</v>
      </c>
      <c r="P44" s="28">
        <v>0</v>
      </c>
    </row>
    <row r="45" spans="1:16" x14ac:dyDescent="0.25">
      <c r="A45" s="36" t="s">
        <v>276</v>
      </c>
      <c r="B45" s="1">
        <f>CEILING('мойки для партнеров'!B45*(1+'мойки с накруткой'!$S$2),100)</f>
        <v>10800</v>
      </c>
      <c r="C45" s="1">
        <f>CEILING('мойки для партнеров'!C45*(1+'мойки с накруткой'!$S$2),100)</f>
        <v>10900</v>
      </c>
      <c r="D45" s="1">
        <f>CEILING('мойки для партнеров'!D45*(1+'мойки с накруткой'!$S$2),100)</f>
        <v>10900</v>
      </c>
      <c r="E45" s="1">
        <f>CEILING('мойки для партнеров'!E45*(1+'мойки с накруткой'!$S$2),100)</f>
        <v>10900</v>
      </c>
      <c r="F45" s="1">
        <f>CEILING('мойки для партнеров'!F45*(1+'мойки с накруткой'!$S$2),100)</f>
        <v>11000</v>
      </c>
      <c r="G45" s="1">
        <f>CEILING('мойки для партнеров'!G45*(1+'мойки с накруткой'!$S$2),100)</f>
        <v>10900</v>
      </c>
      <c r="H45" s="1">
        <f>CEILING('мойки для партнеров'!H45*(1+'мойки с накруткой'!$S$2),100)</f>
        <v>21800</v>
      </c>
      <c r="I45" s="1">
        <f>CEILING('мойки для партнеров'!I45*(1+'мойки с накруткой'!$S$2),100)</f>
        <v>21800</v>
      </c>
      <c r="J45" s="1">
        <f>CEILING('мойки для партнеров'!J45*(1+'мойки с накруткой'!$S$2),100)</f>
        <v>21800</v>
      </c>
      <c r="K45" s="1">
        <f>CEILING('мойки для партнеров'!K45*(1+'мойки с накруткой'!$S$2),100)</f>
        <v>21800</v>
      </c>
      <c r="L45" s="1">
        <f>CEILING('мойки для партнеров'!L45*(1+'мойки с накруткой'!$S$2),100)</f>
        <v>21900</v>
      </c>
      <c r="M45" s="1">
        <f>CEILING('мойки для партнеров'!M45*(1+'мойки с накруткой'!$S$2),100)</f>
        <v>10800</v>
      </c>
      <c r="N45" s="1">
        <f>CEILING('мойки для партнеров'!N45*(1+'мойки с накруткой'!$S$2),100)</f>
        <v>10800</v>
      </c>
      <c r="O45" s="1">
        <f>CEILING('мойки для партнеров'!O45*(1+'мойки с накруткой'!$S$2),100)</f>
        <v>10800</v>
      </c>
      <c r="P45" s="28">
        <v>0</v>
      </c>
    </row>
    <row r="46" spans="1:16" x14ac:dyDescent="0.25">
      <c r="A46" s="36" t="s">
        <v>277</v>
      </c>
      <c r="B46" s="1">
        <f>CEILING('мойки для партнеров'!B46*(1+'мойки с накруткой'!$S$2),100)</f>
        <v>10900</v>
      </c>
      <c r="C46" s="1">
        <f>CEILING('мойки для партнеров'!C46*(1+'мойки с накруткой'!$S$2),100)</f>
        <v>10900</v>
      </c>
      <c r="D46" s="1">
        <f>CEILING('мойки для партнеров'!D46*(1+'мойки с накруткой'!$S$2),100)</f>
        <v>10900</v>
      </c>
      <c r="E46" s="1">
        <f>CEILING('мойки для партнеров'!E46*(1+'мойки с накруткой'!$S$2),100)</f>
        <v>11000</v>
      </c>
      <c r="F46" s="1">
        <f>CEILING('мойки для партнеров'!F46*(1+'мойки с накруткой'!$S$2),100)</f>
        <v>11000</v>
      </c>
      <c r="G46" s="1">
        <f>CEILING('мойки для партнеров'!G46*(1+'мойки с накруткой'!$S$2),100)</f>
        <v>11000</v>
      </c>
      <c r="H46" s="1">
        <f>CEILING('мойки для партнеров'!H46*(1+'мойки с накруткой'!$S$2),100)</f>
        <v>21900</v>
      </c>
      <c r="I46" s="1">
        <f>CEILING('мойки для партнеров'!I46*(1+'мойки с накруткой'!$S$2),100)</f>
        <v>21900</v>
      </c>
      <c r="J46" s="1">
        <f>CEILING('мойки для партнеров'!J46*(1+'мойки с накруткой'!$S$2),100)</f>
        <v>21900</v>
      </c>
      <c r="K46" s="1">
        <f>CEILING('мойки для партнеров'!K46*(1+'мойки с накруткой'!$S$2),100)</f>
        <v>21800</v>
      </c>
      <c r="L46" s="1">
        <f>CEILING('мойки для партнеров'!L46*(1+'мойки с накруткой'!$S$2),100)</f>
        <v>22000</v>
      </c>
      <c r="M46" s="1">
        <f>CEILING('мойки для партнеров'!M46*(1+'мойки с накруткой'!$S$2),100)</f>
        <v>10800</v>
      </c>
      <c r="N46" s="1">
        <f>CEILING('мойки для партнеров'!N46*(1+'мойки с накруткой'!$S$2),100)</f>
        <v>10800</v>
      </c>
      <c r="O46" s="1">
        <f>CEILING('мойки для партнеров'!O46*(1+'мойки с накруткой'!$S$2),100)</f>
        <v>10800</v>
      </c>
      <c r="P46" s="28">
        <v>0</v>
      </c>
    </row>
    <row r="47" spans="1:16" x14ac:dyDescent="0.25">
      <c r="A47" s="36" t="s">
        <v>155</v>
      </c>
      <c r="B47" s="1">
        <f>CEILING('мойки для партнеров'!B47*(1+'мойки с накруткой'!$S$2),100)</f>
        <v>10900</v>
      </c>
      <c r="C47" s="1">
        <f>CEILING('мойки для партнеров'!C47*(1+'мойки с накруткой'!$S$2),100)</f>
        <v>10900</v>
      </c>
      <c r="D47" s="1">
        <f>CEILING('мойки для партнеров'!D47*(1+'мойки с накруткой'!$S$2),100)</f>
        <v>11000</v>
      </c>
      <c r="E47" s="1">
        <f>CEILING('мойки для партнеров'!E47*(1+'мойки с накруткой'!$S$2),100)</f>
        <v>11000</v>
      </c>
      <c r="F47" s="1">
        <f>CEILING('мойки для партнеров'!F47*(1+'мойки с накруткой'!$S$2),100)</f>
        <v>11000</v>
      </c>
      <c r="G47" s="1">
        <f>CEILING('мойки для партнеров'!G47*(1+'мойки с накруткой'!$S$2),100)</f>
        <v>11000</v>
      </c>
      <c r="H47" s="1">
        <f>CEILING('мойки для партнеров'!H47*(1+'мойки с накруткой'!$S$2),100)</f>
        <v>21900</v>
      </c>
      <c r="I47" s="1">
        <f>CEILING('мойки для партнеров'!I47*(1+'мойки с накруткой'!$S$2),100)</f>
        <v>22000</v>
      </c>
      <c r="J47" s="1">
        <f>CEILING('мойки для партнеров'!J47*(1+'мойки с накруткой'!$S$2),100)</f>
        <v>22000</v>
      </c>
      <c r="K47" s="1">
        <f>CEILING('мойки для партнеров'!K47*(1+'мойки с накруткой'!$S$2),100)</f>
        <v>21900</v>
      </c>
      <c r="L47" s="1">
        <f>CEILING('мойки для партнеров'!L47*(1+'мойки с накруткой'!$S$2),100)</f>
        <v>22000</v>
      </c>
      <c r="M47" s="1">
        <f>CEILING('мойки для партнеров'!M47*(1+'мойки с накруткой'!$S$2),100)</f>
        <v>10800</v>
      </c>
      <c r="N47" s="1">
        <f>CEILING('мойки для партнеров'!N47*(1+'мойки с накруткой'!$S$2),100)</f>
        <v>10800</v>
      </c>
      <c r="O47" s="1">
        <f>CEILING('мойки для партнеров'!O47*(1+'мойки с накруткой'!$S$2),100)</f>
        <v>10800</v>
      </c>
      <c r="P47" s="28">
        <v>0</v>
      </c>
    </row>
    <row r="48" spans="1:16" x14ac:dyDescent="0.25">
      <c r="A48" s="36" t="s">
        <v>179</v>
      </c>
      <c r="B48" s="1">
        <f>CEILING('мойки для партнеров'!B48*(1+'мойки с накруткой'!$S$2),100)</f>
        <v>10900</v>
      </c>
      <c r="C48" s="1">
        <f>CEILING('мойки для партнеров'!C48*(1+'мойки с накруткой'!$S$2),100)</f>
        <v>11000</v>
      </c>
      <c r="D48" s="1">
        <f>CEILING('мойки для партнеров'!D48*(1+'мойки с накруткой'!$S$2),100)</f>
        <v>11000</v>
      </c>
      <c r="E48" s="1">
        <f>CEILING('мойки для партнеров'!E48*(1+'мойки с накруткой'!$S$2),100)</f>
        <v>11000</v>
      </c>
      <c r="F48" s="1">
        <f>CEILING('мойки для партнеров'!F48*(1+'мойки с накруткой'!$S$2),100)</f>
        <v>11100</v>
      </c>
      <c r="G48" s="1">
        <f>CEILING('мойки для партнеров'!G48*(1+'мойки с накруткой'!$S$2),100)</f>
        <v>11000</v>
      </c>
      <c r="H48" s="1">
        <f>CEILING('мойки для партнеров'!H48*(1+'мойки с накруткой'!$S$2),100)</f>
        <v>22000</v>
      </c>
      <c r="I48" s="1">
        <f>CEILING('мойки для партнеров'!I48*(1+'мойки с накруткой'!$S$2),100)</f>
        <v>22000</v>
      </c>
      <c r="J48" s="1">
        <f>CEILING('мойки для партнеров'!J48*(1+'мойки с накруткой'!$S$2),100)</f>
        <v>22000</v>
      </c>
      <c r="K48" s="1">
        <f>CEILING('мойки для партнеров'!K48*(1+'мойки с накруткой'!$S$2),100)</f>
        <v>21900</v>
      </c>
      <c r="L48" s="1">
        <f>CEILING('мойки для партнеров'!L48*(1+'мойки с накруткой'!$S$2),100)</f>
        <v>22100</v>
      </c>
      <c r="M48" s="1">
        <f>CEILING('мойки для партнеров'!M48*(1+'мойки с накруткой'!$S$2),100)</f>
        <v>10900</v>
      </c>
      <c r="N48" s="1">
        <f>CEILING('мойки для партнеров'!N48*(1+'мойки с накруткой'!$S$2),100)</f>
        <v>10900</v>
      </c>
      <c r="O48" s="1">
        <f>CEILING('мойки для партнеров'!O48*(1+'мойки с накруткой'!$S$2),100)</f>
        <v>10900</v>
      </c>
      <c r="P48" s="28">
        <v>0</v>
      </c>
    </row>
    <row r="49" spans="1:16" x14ac:dyDescent="0.25">
      <c r="A49" s="36" t="s">
        <v>180</v>
      </c>
      <c r="B49" s="1">
        <f>CEILING('мойки для партнеров'!B49*(1+'мойки с накруткой'!$S$2),100)</f>
        <v>10900</v>
      </c>
      <c r="C49" s="1">
        <f>CEILING('мойки для партнеров'!C49*(1+'мойки с накруткой'!$S$2),100)</f>
        <v>11000</v>
      </c>
      <c r="D49" s="1">
        <f>CEILING('мойки для партнеров'!D49*(1+'мойки с накруткой'!$S$2),100)</f>
        <v>11000</v>
      </c>
      <c r="E49" s="1">
        <f>CEILING('мойки для партнеров'!E49*(1+'мойки с накруткой'!$S$2),100)</f>
        <v>11100</v>
      </c>
      <c r="F49" s="1">
        <f>CEILING('мойки для партнеров'!F49*(1+'мойки с накруткой'!$S$2),100)</f>
        <v>11100</v>
      </c>
      <c r="G49" s="1">
        <f>CEILING('мойки для партнеров'!G49*(1+'мойки с накруткой'!$S$2),100)</f>
        <v>11100</v>
      </c>
      <c r="H49" s="1">
        <f>CEILING('мойки для партнеров'!H49*(1+'мойки с накруткой'!$S$2),100)</f>
        <v>22000</v>
      </c>
      <c r="I49" s="1">
        <f>CEILING('мойки для партнеров'!I49*(1+'мойки с накруткой'!$S$2),100)</f>
        <v>22100</v>
      </c>
      <c r="J49" s="1">
        <f>CEILING('мойки для партнеров'!J49*(1+'мойки с накруткой'!$S$2),100)</f>
        <v>22100</v>
      </c>
      <c r="K49" s="1">
        <f>CEILING('мойки для партнеров'!K49*(1+'мойки с накруткой'!$S$2),100)</f>
        <v>22000</v>
      </c>
      <c r="L49" s="1">
        <f>CEILING('мойки для партнеров'!L49*(1+'мойки с накруткой'!$S$2),100)</f>
        <v>22200</v>
      </c>
      <c r="M49" s="1">
        <f>CEILING('мойки для партнеров'!M49*(1+'мойки с накруткой'!$S$2),100)</f>
        <v>10900</v>
      </c>
      <c r="N49" s="1">
        <f>CEILING('мойки для партнеров'!N49*(1+'мойки с накруткой'!$S$2),100)</f>
        <v>10900</v>
      </c>
      <c r="O49" s="1">
        <f>CEILING('мойки для партнеров'!O49*(1+'мойки с накруткой'!$S$2),100)</f>
        <v>10900</v>
      </c>
      <c r="P49" s="28">
        <v>0</v>
      </c>
    </row>
    <row r="50" spans="1:16" x14ac:dyDescent="0.25">
      <c r="A50" s="36" t="s">
        <v>156</v>
      </c>
      <c r="B50" s="1">
        <f>CEILING('мойки для партнеров'!B50*(1+'мойки с накруткой'!$S$2),100)</f>
        <v>11000</v>
      </c>
      <c r="C50" s="1">
        <f>CEILING('мойки для партнеров'!C50*(1+'мойки с накруткой'!$S$2),100)</f>
        <v>11100</v>
      </c>
      <c r="D50" s="1">
        <f>CEILING('мойки для партнеров'!D50*(1+'мойки с накруткой'!$S$2),100)</f>
        <v>11100</v>
      </c>
      <c r="E50" s="1">
        <f>CEILING('мойки для партнеров'!E50*(1+'мойки с накруткой'!$S$2),100)</f>
        <v>11200</v>
      </c>
      <c r="F50" s="1">
        <f>CEILING('мойки для партнеров'!F50*(1+'мойки с накруткой'!$S$2),100)</f>
        <v>11200</v>
      </c>
      <c r="G50" s="1">
        <f>CEILING('мойки для партнеров'!G50*(1+'мойки с накруткой'!$S$2),100)</f>
        <v>11200</v>
      </c>
      <c r="H50" s="1">
        <f>CEILING('мойки для партнеров'!H50*(1+'мойки с накруткой'!$S$2),100)</f>
        <v>22300</v>
      </c>
      <c r="I50" s="1">
        <f>CEILING('мойки для партнеров'!I50*(1+'мойки с накруткой'!$S$2),100)</f>
        <v>22300</v>
      </c>
      <c r="J50" s="1">
        <f>CEILING('мойки для партнеров'!J50*(1+'мойки с накруткой'!$S$2),100)</f>
        <v>22300</v>
      </c>
      <c r="K50" s="1">
        <f>CEILING('мойки для партнеров'!K50*(1+'мойки с накруткой'!$S$2),100)</f>
        <v>22200</v>
      </c>
      <c r="L50" s="1">
        <f>CEILING('мойки для партнеров'!L50*(1+'мойки с накруткой'!$S$2),100)</f>
        <v>22400</v>
      </c>
      <c r="M50" s="1">
        <f>CEILING('мойки для партнеров'!M50*(1+'мойки с накруткой'!$S$2),100)</f>
        <v>11000</v>
      </c>
      <c r="N50" s="1">
        <f>CEILING('мойки для партнеров'!N50*(1+'мойки с накруткой'!$S$2),100)</f>
        <v>11000</v>
      </c>
      <c r="O50" s="1">
        <f>CEILING('мойки для партнеров'!O50*(1+'мойки с накруткой'!$S$2),100)</f>
        <v>11000</v>
      </c>
      <c r="P50" s="28">
        <v>0</v>
      </c>
    </row>
    <row r="51" spans="1:16" x14ac:dyDescent="0.25">
      <c r="A51" s="36" t="s">
        <v>171</v>
      </c>
      <c r="B51" s="1">
        <f>CEILING('мойки для партнеров'!B51*(1+'мойки с накруткой'!$S$2),100)</f>
        <v>11000</v>
      </c>
      <c r="C51" s="1">
        <f>CEILING('мойки для партнеров'!C51*(1+'мойки с накруткой'!$S$2),100)</f>
        <v>11100</v>
      </c>
      <c r="D51" s="1">
        <f>CEILING('мойки для партнеров'!D51*(1+'мойки с накруткой'!$S$2),100)</f>
        <v>11100</v>
      </c>
      <c r="E51" s="1">
        <f>CEILING('мойки для партнеров'!E51*(1+'мойки с накруткой'!$S$2),100)</f>
        <v>11200</v>
      </c>
      <c r="F51" s="1">
        <f>CEILING('мойки для партнеров'!F51*(1+'мойки с накруткой'!$S$2),100)</f>
        <v>11200</v>
      </c>
      <c r="G51" s="1">
        <f>CEILING('мойки для партнеров'!G51*(1+'мойки с накруткой'!$S$2),100)</f>
        <v>11200</v>
      </c>
      <c r="H51" s="1">
        <f>CEILING('мойки для партнеров'!H51*(1+'мойки с накруткой'!$S$2),100)</f>
        <v>22300</v>
      </c>
      <c r="I51" s="1">
        <f>CEILING('мойки для партнеров'!I51*(1+'мойки с накруткой'!$S$2),100)</f>
        <v>22300</v>
      </c>
      <c r="J51" s="1">
        <f>CEILING('мойки для партнеров'!J51*(1+'мойки с накруткой'!$S$2),100)</f>
        <v>22300</v>
      </c>
      <c r="K51" s="1">
        <f>CEILING('мойки для партнеров'!K51*(1+'мойки с накруткой'!$S$2),100)</f>
        <v>22200</v>
      </c>
      <c r="L51" s="1">
        <f>CEILING('мойки для партнеров'!L51*(1+'мойки с накруткой'!$S$2),100)</f>
        <v>22400</v>
      </c>
      <c r="M51" s="1">
        <f>CEILING('мойки для партнеров'!M51*(1+'мойки с накруткой'!$S$2),100)</f>
        <v>11000</v>
      </c>
      <c r="N51" s="1">
        <f>CEILING('мойки для партнеров'!N51*(1+'мойки с накруткой'!$S$2),100)</f>
        <v>11000</v>
      </c>
      <c r="O51" s="1">
        <f>CEILING('мойки для партнеров'!O51*(1+'мойки с накруткой'!$S$2),100)</f>
        <v>11000</v>
      </c>
      <c r="P51" s="28">
        <v>0</v>
      </c>
    </row>
    <row r="52" spans="1:16" x14ac:dyDescent="0.25">
      <c r="A52" s="36" t="s">
        <v>157</v>
      </c>
      <c r="B52" s="1">
        <f>CEILING('мойки для партнеров'!B52*(1+'мойки с накруткой'!$S$2),100)</f>
        <v>11100</v>
      </c>
      <c r="C52" s="1">
        <f>CEILING('мойки для партнеров'!C52*(1+'мойки с накруткой'!$S$2),100)</f>
        <v>11200</v>
      </c>
      <c r="D52" s="1">
        <f>CEILING('мойки для партнеров'!D52*(1+'мойки с накруткой'!$S$2),100)</f>
        <v>11200</v>
      </c>
      <c r="E52" s="1">
        <f>CEILING('мойки для партнеров'!E52*(1+'мойки с накруткой'!$S$2),100)</f>
        <v>11300</v>
      </c>
      <c r="F52" s="1">
        <f>CEILING('мойки для партнеров'!F52*(1+'мойки с накруткой'!$S$2),100)</f>
        <v>11400</v>
      </c>
      <c r="G52" s="1">
        <f>CEILING('мойки для партнеров'!G52*(1+'мойки с накруткой'!$S$2),100)</f>
        <v>11300</v>
      </c>
      <c r="H52" s="1">
        <f>CEILING('мойки для партнеров'!H52*(1+'мойки с накруткой'!$S$2),100)</f>
        <v>22500</v>
      </c>
      <c r="I52" s="1">
        <f>CEILING('мойки для партнеров'!I52*(1+'мойки с накруткой'!$S$2),100)</f>
        <v>22500</v>
      </c>
      <c r="J52" s="1">
        <f>CEILING('мойки для партнеров'!J52*(1+'мойки с накруткой'!$S$2),100)</f>
        <v>22500</v>
      </c>
      <c r="K52" s="1">
        <f>CEILING('мойки для партнеров'!K52*(1+'мойки с накруткой'!$S$2),100)</f>
        <v>22400</v>
      </c>
      <c r="L52" s="1">
        <f>CEILING('мойки для партнеров'!L52*(1+'мойки с накруткой'!$S$2),100)</f>
        <v>22700</v>
      </c>
      <c r="M52" s="1">
        <f>CEILING('мойки для партнеров'!M52*(1+'мойки с накруткой'!$S$2),100)</f>
        <v>11000</v>
      </c>
      <c r="N52" s="1">
        <f>CEILING('мойки для партнеров'!N52*(1+'мойки с накруткой'!$S$2),100)</f>
        <v>11000</v>
      </c>
      <c r="O52" s="1">
        <f>CEILING('мойки для партнеров'!O52*(1+'мойки с накруткой'!$S$2),100)</f>
        <v>11000</v>
      </c>
      <c r="P52" s="28">
        <v>0</v>
      </c>
    </row>
    <row r="53" spans="1:16" x14ac:dyDescent="0.25">
      <c r="A53" s="36" t="s">
        <v>278</v>
      </c>
      <c r="B53" s="1">
        <f>CEILING('мойки для партнеров'!B53*(1+'мойки с накруткой'!$S$2),100)</f>
        <v>11200</v>
      </c>
      <c r="C53" s="1">
        <f>CEILING('мойки для партнеров'!C53*(1+'мойки с накруткой'!$S$2),100)</f>
        <v>11200</v>
      </c>
      <c r="D53" s="1">
        <f>CEILING('мойки для партнеров'!D53*(1+'мойки с накруткой'!$S$2),100)</f>
        <v>11300</v>
      </c>
      <c r="E53" s="1">
        <f>CEILING('мойки для партнеров'!E53*(1+'мойки с накруткой'!$S$2),100)</f>
        <v>11400</v>
      </c>
      <c r="F53" s="1">
        <f>CEILING('мойки для партнеров'!F53*(1+'мойки с накруткой'!$S$2),100)</f>
        <v>11400</v>
      </c>
      <c r="G53" s="1">
        <f>CEILING('мойки для партнеров'!G53*(1+'мойки с накруткой'!$S$2),100)</f>
        <v>11400</v>
      </c>
      <c r="H53" s="1">
        <f>CEILING('мойки для партнеров'!H53*(1+'мойки с накруткой'!$S$2),100)</f>
        <v>22600</v>
      </c>
      <c r="I53" s="1">
        <f>CEILING('мойки для партнеров'!I53*(1+'мойки с накруткой'!$S$2),100)</f>
        <v>22700</v>
      </c>
      <c r="J53" s="1">
        <f>CEILING('мойки для партнеров'!J53*(1+'мойки с накруткой'!$S$2),100)</f>
        <v>22700</v>
      </c>
      <c r="K53" s="1">
        <f>CEILING('мойки для партнеров'!K53*(1+'мойки с накруткой'!$S$2),100)</f>
        <v>22600</v>
      </c>
      <c r="L53" s="1">
        <f>CEILING('мойки для партнеров'!L53*(1+'мойки с накруткой'!$S$2),100)</f>
        <v>22800</v>
      </c>
      <c r="M53" s="1">
        <f>CEILING('мойки для партнеров'!M53*(1+'мойки с накруткой'!$S$2),100)</f>
        <v>11100</v>
      </c>
      <c r="N53" s="1">
        <f>CEILING('мойки для партнеров'!N53*(1+'мойки с накруткой'!$S$2),100)</f>
        <v>11100</v>
      </c>
      <c r="O53" s="1">
        <f>CEILING('мойки для партнеров'!O53*(1+'мойки с накруткой'!$S$2),100)</f>
        <v>11100</v>
      </c>
      <c r="P53" s="28">
        <v>0</v>
      </c>
    </row>
    <row r="54" spans="1:16" x14ac:dyDescent="0.25">
      <c r="A54" s="36" t="s">
        <v>158</v>
      </c>
      <c r="B54" s="1">
        <f>CEILING('мойки для партнеров'!B54*(1+'мойки с накруткой'!$S$2),100)</f>
        <v>11000</v>
      </c>
      <c r="C54" s="1">
        <f>CEILING('мойки для партнеров'!C54*(1+'мойки с накруткой'!$S$2),100)</f>
        <v>11000</v>
      </c>
      <c r="D54" s="1">
        <f>CEILING('мойки для партнеров'!D54*(1+'мойки с накруткой'!$S$2),100)</f>
        <v>11000</v>
      </c>
      <c r="E54" s="1">
        <f>CEILING('мойки для партнеров'!E54*(1+'мойки с накруткой'!$S$2),100)</f>
        <v>11100</v>
      </c>
      <c r="F54" s="1">
        <f>CEILING('мойки для партнеров'!F54*(1+'мойки с накруткой'!$S$2),100)</f>
        <v>11100</v>
      </c>
      <c r="G54" s="1">
        <f>CEILING('мойки для партнеров'!G54*(1+'мойки с накруткой'!$S$2),100)</f>
        <v>11100</v>
      </c>
      <c r="H54" s="1">
        <f>CEILING('мойки для партнеров'!H54*(1+'мойки с накруткой'!$S$2),100)</f>
        <v>22100</v>
      </c>
      <c r="I54" s="1">
        <f>CEILING('мойки для партнеров'!I54*(1+'мойки с накруткой'!$S$2),100)</f>
        <v>22100</v>
      </c>
      <c r="J54" s="1">
        <f>CEILING('мойки для партнеров'!J54*(1+'мойки с накруткой'!$S$2),100)</f>
        <v>22100</v>
      </c>
      <c r="K54" s="1">
        <f>CEILING('мойки для партнеров'!K54*(1+'мойки с накруткой'!$S$2),100)</f>
        <v>22000</v>
      </c>
      <c r="L54" s="1">
        <f>CEILING('мойки для партнеров'!L54*(1+'мойки с накруткой'!$S$2),100)</f>
        <v>22200</v>
      </c>
      <c r="M54" s="1">
        <f>CEILING('мойки для партнеров'!M54*(1+'мойки с накруткой'!$S$2),100)</f>
        <v>10900</v>
      </c>
      <c r="N54" s="1">
        <f>CEILING('мойки для партнеров'!N54*(1+'мойки с накруткой'!$S$2),100)</f>
        <v>10900</v>
      </c>
      <c r="O54" s="1">
        <f>CEILING('мойки для партнеров'!O54*(1+'мойки с накруткой'!$S$2),100)</f>
        <v>10900</v>
      </c>
      <c r="P54" s="28">
        <v>0</v>
      </c>
    </row>
    <row r="55" spans="1:16" x14ac:dyDescent="0.25">
      <c r="A55" s="36" t="s">
        <v>159</v>
      </c>
      <c r="B55" s="1">
        <f>CEILING('мойки для партнеров'!B55*(1+'мойки с накруткой'!$S$2),100)</f>
        <v>11000</v>
      </c>
      <c r="C55" s="1">
        <f>CEILING('мойки для партнеров'!C55*(1+'мойки с накруткой'!$S$2),100)</f>
        <v>11000</v>
      </c>
      <c r="D55" s="1">
        <f>CEILING('мойки для партнеров'!D55*(1+'мойки с накруткой'!$S$2),100)</f>
        <v>11000</v>
      </c>
      <c r="E55" s="1">
        <f>CEILING('мойки для партнеров'!E55*(1+'мойки с накруткой'!$S$2),100)</f>
        <v>11100</v>
      </c>
      <c r="F55" s="1">
        <f>CEILING('мойки для партнеров'!F55*(1+'мойки с накруткой'!$S$2),100)</f>
        <v>11100</v>
      </c>
      <c r="G55" s="1">
        <f>CEILING('мойки для партнеров'!G55*(1+'мойки с накруткой'!$S$2),100)</f>
        <v>11100</v>
      </c>
      <c r="H55" s="1">
        <f>CEILING('мойки для партнеров'!H55*(1+'мойки с накруткой'!$S$2),100)</f>
        <v>22100</v>
      </c>
      <c r="I55" s="1">
        <f>CEILING('мойки для партнеров'!I55*(1+'мойки с накруткой'!$S$2),100)</f>
        <v>22100</v>
      </c>
      <c r="J55" s="1">
        <f>CEILING('мойки для партнеров'!J55*(1+'мойки с накруткой'!$S$2),100)</f>
        <v>22100</v>
      </c>
      <c r="K55" s="1">
        <f>CEILING('мойки для партнеров'!K55*(1+'мойки с накруткой'!$S$2),100)</f>
        <v>22000</v>
      </c>
      <c r="L55" s="1">
        <f>CEILING('мойки для партнеров'!L55*(1+'мойки с накруткой'!$S$2),100)</f>
        <v>22200</v>
      </c>
      <c r="M55" s="1">
        <f>CEILING('мойки для партнеров'!M55*(1+'мойки с накруткой'!$S$2),100)</f>
        <v>10900</v>
      </c>
      <c r="N55" s="1">
        <f>CEILING('мойки для партнеров'!N55*(1+'мойки с накруткой'!$S$2),100)</f>
        <v>10900</v>
      </c>
      <c r="O55" s="1">
        <f>CEILING('мойки для партнеров'!O55*(1+'мойки с накруткой'!$S$2),100)</f>
        <v>10900</v>
      </c>
      <c r="P55" s="28">
        <v>0</v>
      </c>
    </row>
    <row r="56" spans="1:16" x14ac:dyDescent="0.25">
      <c r="A56" s="36" t="s">
        <v>160</v>
      </c>
      <c r="B56" s="1">
        <f>CEILING('мойки для партнеров'!B56*(1+'мойки с накруткой'!$S$2),100)</f>
        <v>11000</v>
      </c>
      <c r="C56" s="1">
        <f>CEILING('мойки для партнеров'!C56*(1+'мойки с накруткой'!$S$2),100)</f>
        <v>11000</v>
      </c>
      <c r="D56" s="1">
        <f>CEILING('мойки для партнеров'!D56*(1+'мойки с накруткой'!$S$2),100)</f>
        <v>11100</v>
      </c>
      <c r="E56" s="1">
        <f>CEILING('мойки для партнеров'!E56*(1+'мойки с накруткой'!$S$2),100)</f>
        <v>11100</v>
      </c>
      <c r="F56" s="1">
        <f>CEILING('мойки для партнеров'!F56*(1+'мойки с накруткой'!$S$2),100)</f>
        <v>11200</v>
      </c>
      <c r="G56" s="1">
        <f>CEILING('мойки для партнеров'!G56*(1+'мойки с накруткой'!$S$2),100)</f>
        <v>11100</v>
      </c>
      <c r="H56" s="1">
        <f>CEILING('мойки для партнеров'!H56*(1+'мойки с накруткой'!$S$2),100)</f>
        <v>22100</v>
      </c>
      <c r="I56" s="1">
        <f>CEILING('мойки для партнеров'!I56*(1+'мойки с накруткой'!$S$2),100)</f>
        <v>22200</v>
      </c>
      <c r="J56" s="1">
        <f>CEILING('мойки для партнеров'!J56*(1+'мойки с накруткой'!$S$2),100)</f>
        <v>22200</v>
      </c>
      <c r="K56" s="1">
        <f>CEILING('мойки для партнеров'!K56*(1+'мойки с накруткой'!$S$2),100)</f>
        <v>22100</v>
      </c>
      <c r="L56" s="1">
        <f>CEILING('мойки для партнеров'!L56*(1+'мойки с накруткой'!$S$2),100)</f>
        <v>22300</v>
      </c>
      <c r="M56" s="1">
        <f>CEILING('мойки для партнеров'!M56*(1+'мойки с накруткой'!$S$2),100)</f>
        <v>10900</v>
      </c>
      <c r="N56" s="1">
        <f>CEILING('мойки для партнеров'!N56*(1+'мойки с накруткой'!$S$2),100)</f>
        <v>10900</v>
      </c>
      <c r="O56" s="1">
        <f>CEILING('мойки для партнеров'!O56*(1+'мойки с накруткой'!$S$2),100)</f>
        <v>10900</v>
      </c>
      <c r="P56" s="28">
        <v>0</v>
      </c>
    </row>
    <row r="57" spans="1:16" x14ac:dyDescent="0.25">
      <c r="A57" s="36" t="s">
        <v>161</v>
      </c>
      <c r="B57" s="1">
        <f>CEILING('мойки для партнеров'!B57*(1+'мойки с накруткой'!$S$2),100)</f>
        <v>11000</v>
      </c>
      <c r="C57" s="1">
        <f>CEILING('мойки для партнеров'!C57*(1+'мойки с накруткой'!$S$2),100)</f>
        <v>11000</v>
      </c>
      <c r="D57" s="1">
        <f>CEILING('мойки для партнеров'!D57*(1+'мойки с накруткой'!$S$2),100)</f>
        <v>11100</v>
      </c>
      <c r="E57" s="1">
        <f>CEILING('мойки для партнеров'!E57*(1+'мойки с накруткой'!$S$2),100)</f>
        <v>11100</v>
      </c>
      <c r="F57" s="1">
        <f>CEILING('мойки для партнеров'!F57*(1+'мойки с накруткой'!$S$2),100)</f>
        <v>11200</v>
      </c>
      <c r="G57" s="1">
        <f>CEILING('мойки для партнеров'!G57*(1+'мойки с накруткой'!$S$2),100)</f>
        <v>11100</v>
      </c>
      <c r="H57" s="1">
        <f>CEILING('мойки для партнеров'!H57*(1+'мойки с накруткой'!$S$2),100)</f>
        <v>22200</v>
      </c>
      <c r="I57" s="1">
        <f>CEILING('мойки для партнеров'!I57*(1+'мойки с накруткой'!$S$2),100)</f>
        <v>22200</v>
      </c>
      <c r="J57" s="1">
        <f>CEILING('мойки для партнеров'!J57*(1+'мойки с накруткой'!$S$2),100)</f>
        <v>22200</v>
      </c>
      <c r="K57" s="1">
        <f>CEILING('мойки для партнеров'!K57*(1+'мойки с накруткой'!$S$2),100)</f>
        <v>22100</v>
      </c>
      <c r="L57" s="1">
        <f>CEILING('мойки для партнеров'!L57*(1+'мойки с накруткой'!$S$2),100)</f>
        <v>22300</v>
      </c>
      <c r="M57" s="1">
        <f>CEILING('мойки для партнеров'!M57*(1+'мойки с накруткой'!$S$2),100)</f>
        <v>10900</v>
      </c>
      <c r="N57" s="1">
        <f>CEILING('мойки для партнеров'!N57*(1+'мойки с накруткой'!$S$2),100)</f>
        <v>10900</v>
      </c>
      <c r="O57" s="1">
        <f>CEILING('мойки для партнеров'!O57*(1+'мойки с накруткой'!$S$2),100)</f>
        <v>10900</v>
      </c>
      <c r="P57" s="28">
        <v>0</v>
      </c>
    </row>
    <row r="58" spans="1:16" x14ac:dyDescent="0.25">
      <c r="A58" s="36" t="s">
        <v>162</v>
      </c>
      <c r="B58" s="1">
        <f>CEILING('мойки для партнеров'!B58*(1+'мойки с накруткой'!$S$2),100)</f>
        <v>11000</v>
      </c>
      <c r="C58" s="1">
        <f>CEILING('мойки для партнеров'!C58*(1+'мойки с накруткой'!$S$2),100)</f>
        <v>11000</v>
      </c>
      <c r="D58" s="1">
        <f>CEILING('мойки для партнеров'!D58*(1+'мойки с накруткой'!$S$2),100)</f>
        <v>11100</v>
      </c>
      <c r="E58" s="1">
        <f>CEILING('мойки для партнеров'!E58*(1+'мойки с накруткой'!$S$2),100)</f>
        <v>11100</v>
      </c>
      <c r="F58" s="1">
        <f>CEILING('мойки для партнеров'!F58*(1+'мойки с накруткой'!$S$2),100)</f>
        <v>11200</v>
      </c>
      <c r="G58" s="1">
        <f>CEILING('мойки для партнеров'!G58*(1+'мойки с накруткой'!$S$2),100)</f>
        <v>11100</v>
      </c>
      <c r="H58" s="1">
        <f>CEILING('мойки для партнеров'!H58*(1+'мойки с накруткой'!$S$2),100)</f>
        <v>22200</v>
      </c>
      <c r="I58" s="1">
        <f>CEILING('мойки для партнеров'!I58*(1+'мойки с накруткой'!$S$2),100)</f>
        <v>22200</v>
      </c>
      <c r="J58" s="1">
        <f>CEILING('мойки для партнеров'!J58*(1+'мойки с накруткой'!$S$2),100)</f>
        <v>22200</v>
      </c>
      <c r="K58" s="1">
        <f>CEILING('мойки для партнеров'!K58*(1+'мойки с накруткой'!$S$2),100)</f>
        <v>22100</v>
      </c>
      <c r="L58" s="1">
        <f>CEILING('мойки для партнеров'!L58*(1+'мойки с накруткой'!$S$2),100)</f>
        <v>22300</v>
      </c>
      <c r="M58" s="1">
        <f>CEILING('мойки для партнеров'!M58*(1+'мойки с накруткой'!$S$2),100)</f>
        <v>10900</v>
      </c>
      <c r="N58" s="1">
        <f>CEILING('мойки для партнеров'!N58*(1+'мойки с накруткой'!$S$2),100)</f>
        <v>10900</v>
      </c>
      <c r="O58" s="1">
        <f>CEILING('мойки для партнеров'!O58*(1+'мойки с накруткой'!$S$2),100)</f>
        <v>10900</v>
      </c>
      <c r="P58" s="28">
        <v>0</v>
      </c>
    </row>
    <row r="59" spans="1:16" x14ac:dyDescent="0.25">
      <c r="A59" s="36" t="s">
        <v>163</v>
      </c>
      <c r="B59" s="1">
        <f>CEILING('мойки для партнеров'!B59*(1+'мойки с накруткой'!$S$2),100)</f>
        <v>11000</v>
      </c>
      <c r="C59" s="1">
        <f>CEILING('мойки для партнеров'!C59*(1+'мойки с накруткой'!$S$2),100)</f>
        <v>11000</v>
      </c>
      <c r="D59" s="1">
        <f>CEILING('мойки для партнеров'!D59*(1+'мойки с накруткой'!$S$2),100)</f>
        <v>11100</v>
      </c>
      <c r="E59" s="1">
        <f>CEILING('мойки для партнеров'!E59*(1+'мойки с накруткой'!$S$2),100)</f>
        <v>11100</v>
      </c>
      <c r="F59" s="1">
        <f>CEILING('мойки для партнеров'!F59*(1+'мойки с накруткой'!$S$2),100)</f>
        <v>11200</v>
      </c>
      <c r="G59" s="1">
        <f>CEILING('мойки для партнеров'!G59*(1+'мойки с накруткой'!$S$2),100)</f>
        <v>11100</v>
      </c>
      <c r="H59" s="1">
        <f>CEILING('мойки для партнеров'!H59*(1+'мойки с накруткой'!$S$2),100)</f>
        <v>22100</v>
      </c>
      <c r="I59" s="1">
        <f>CEILING('мойки для партнеров'!I59*(1+'мойки с накруткой'!$S$2),100)</f>
        <v>22200</v>
      </c>
      <c r="J59" s="1">
        <f>CEILING('мойки для партнеров'!J59*(1+'мойки с накруткой'!$S$2),100)</f>
        <v>22200</v>
      </c>
      <c r="K59" s="1">
        <f>CEILING('мойки для партнеров'!K59*(1+'мойки с накруткой'!$S$2),100)</f>
        <v>22100</v>
      </c>
      <c r="L59" s="1">
        <f>CEILING('мойки для партнеров'!L59*(1+'мойки с накруткой'!$S$2),100)</f>
        <v>22300</v>
      </c>
      <c r="M59" s="1">
        <f>CEILING('мойки для партнеров'!M59*(1+'мойки с накруткой'!$S$2),100)</f>
        <v>10900</v>
      </c>
      <c r="N59" s="1">
        <f>CEILING('мойки для партнеров'!N59*(1+'мойки с накруткой'!$S$2),100)</f>
        <v>10900</v>
      </c>
      <c r="O59" s="1">
        <f>CEILING('мойки для партнеров'!O59*(1+'мойки с накруткой'!$S$2),100)</f>
        <v>10900</v>
      </c>
      <c r="P59" s="28">
        <v>0</v>
      </c>
    </row>
    <row r="60" spans="1:16" x14ac:dyDescent="0.25">
      <c r="A60" s="36" t="s">
        <v>164</v>
      </c>
      <c r="B60" s="1">
        <f>CEILING('мойки для партнеров'!B60*(1+'мойки с накруткой'!$S$2),100)</f>
        <v>11000</v>
      </c>
      <c r="C60" s="1">
        <f>CEILING('мойки для партнеров'!C60*(1+'мойки с накруткой'!$S$2),100)</f>
        <v>11100</v>
      </c>
      <c r="D60" s="1">
        <f>CEILING('мойки для партнеров'!D60*(1+'мойки с накруткой'!$S$2),100)</f>
        <v>11100</v>
      </c>
      <c r="E60" s="1">
        <f>CEILING('мойки для партнеров'!E60*(1+'мойки с накруткой'!$S$2),100)</f>
        <v>11200</v>
      </c>
      <c r="F60" s="1">
        <f>CEILING('мойки для партнеров'!F60*(1+'мойки с накруткой'!$S$2),100)</f>
        <v>11200</v>
      </c>
      <c r="G60" s="1">
        <f>CEILING('мойки для партнеров'!G60*(1+'мойки с накруткой'!$S$2),100)</f>
        <v>11200</v>
      </c>
      <c r="H60" s="1">
        <f>CEILING('мойки для партнеров'!H60*(1+'мойки с накруткой'!$S$2),100)</f>
        <v>22200</v>
      </c>
      <c r="I60" s="1">
        <f>CEILING('мойки для партнеров'!I60*(1+'мойки с накруткой'!$S$2),100)</f>
        <v>22300</v>
      </c>
      <c r="J60" s="1">
        <f>CEILING('мойки для партнеров'!J60*(1+'мойки с накруткой'!$S$2),100)</f>
        <v>22300</v>
      </c>
      <c r="K60" s="1">
        <f>CEILING('мойки для партнеров'!K60*(1+'мойки с накруткой'!$S$2),100)</f>
        <v>22200</v>
      </c>
      <c r="L60" s="1">
        <f>CEILING('мойки для партнеров'!L60*(1+'мойки с накруткой'!$S$2),100)</f>
        <v>22300</v>
      </c>
      <c r="M60" s="1">
        <f>CEILING('мойки для партнеров'!M60*(1+'мойки с накруткой'!$S$2),100)</f>
        <v>10900</v>
      </c>
      <c r="N60" s="1">
        <f>CEILING('мойки для партнеров'!N60*(1+'мойки с накруткой'!$S$2),100)</f>
        <v>10900</v>
      </c>
      <c r="O60" s="1">
        <f>CEILING('мойки для партнеров'!O60*(1+'мойки с накруткой'!$S$2),100)</f>
        <v>10900</v>
      </c>
      <c r="P60" s="28">
        <v>0</v>
      </c>
    </row>
    <row r="61" spans="1:16" x14ac:dyDescent="0.25">
      <c r="A61" s="37" t="s">
        <v>165</v>
      </c>
      <c r="B61" s="1">
        <f>CEILING('мойки для партнеров'!B61*(1+'мойки с накруткой'!$S$2),100)</f>
        <v>11100</v>
      </c>
      <c r="C61" s="1">
        <f>CEILING('мойки для партнеров'!C61*(1+'мойки с накруткой'!$S$2),100)</f>
        <v>11200</v>
      </c>
      <c r="D61" s="1">
        <f>CEILING('мойки для партнеров'!D61*(1+'мойки с накруткой'!$S$2),100)</f>
        <v>11200</v>
      </c>
      <c r="E61" s="1">
        <f>CEILING('мойки для партнеров'!E61*(1+'мойки с накруткой'!$S$2),100)</f>
        <v>11300</v>
      </c>
      <c r="F61" s="1">
        <f>CEILING('мойки для партнеров'!F61*(1+'мойки с накруткой'!$S$2),100)</f>
        <v>11300</v>
      </c>
      <c r="G61" s="1">
        <f>CEILING('мойки для партнеров'!G61*(1+'мойки с накруткой'!$S$2),100)</f>
        <v>11300</v>
      </c>
      <c r="H61" s="1">
        <f>CEILING('мойки для партнеров'!H61*(1+'мойки с накруткой'!$S$2),100)</f>
        <v>22500</v>
      </c>
      <c r="I61" s="1">
        <f>CEILING('мойки для партнеров'!I61*(1+'мойки с накруткой'!$S$2),100)</f>
        <v>22500</v>
      </c>
      <c r="J61" s="1">
        <f>CEILING('мойки для партнеров'!J61*(1+'мойки с накруткой'!$S$2),100)</f>
        <v>22500</v>
      </c>
      <c r="K61" s="1">
        <f>CEILING('мойки для партнеров'!K61*(1+'мойки с накруткой'!$S$2),100)</f>
        <v>22400</v>
      </c>
      <c r="L61" s="1">
        <f>CEILING('мойки для партнеров'!L61*(1+'мойки с накруткой'!$S$2),100)</f>
        <v>22600</v>
      </c>
      <c r="M61" s="1">
        <f>CEILING('мойки для партнеров'!M61*(1+'мойки с накруткой'!$S$2),100)</f>
        <v>11000</v>
      </c>
      <c r="N61" s="1">
        <f>CEILING('мойки для партнеров'!N61*(1+'мойки с накруткой'!$S$2),100)</f>
        <v>11000</v>
      </c>
      <c r="O61" s="1">
        <f>CEILING('мойки для партнеров'!O61*(1+'мойки с накруткой'!$S$2),100)</f>
        <v>11000</v>
      </c>
      <c r="P61" s="28">
        <v>0</v>
      </c>
    </row>
    <row r="62" spans="1:16" x14ac:dyDescent="0.25">
      <c r="A62" s="37" t="s">
        <v>166</v>
      </c>
      <c r="B62" s="1">
        <f>CEILING('мойки для партнеров'!B62*(1+'мойки с накруткой'!$S$2),100)</f>
        <v>11200</v>
      </c>
      <c r="C62" s="1">
        <f>CEILING('мойки для партнеров'!C62*(1+'мойки с накруткой'!$S$2),100)</f>
        <v>11300</v>
      </c>
      <c r="D62" s="1">
        <f>CEILING('мойки для партнеров'!D62*(1+'мойки с накруткой'!$S$2),100)</f>
        <v>11400</v>
      </c>
      <c r="E62" s="1">
        <f>CEILING('мойки для партнеров'!E62*(1+'мойки с накруткой'!$S$2),100)</f>
        <v>11400</v>
      </c>
      <c r="F62" s="1">
        <f>CEILING('мойки для партнеров'!F62*(1+'мойки с накруткой'!$S$2),100)</f>
        <v>11500</v>
      </c>
      <c r="G62" s="1">
        <f>CEILING('мойки для партнеров'!G62*(1+'мойки с накруткой'!$S$2),100)</f>
        <v>11400</v>
      </c>
      <c r="H62" s="1">
        <f>CEILING('мойки для партнеров'!H62*(1+'мойки с накруткой'!$S$2),100)</f>
        <v>22700</v>
      </c>
      <c r="I62" s="1">
        <f>CEILING('мойки для партнеров'!I62*(1+'мойки с накруткой'!$S$2),100)</f>
        <v>22800</v>
      </c>
      <c r="J62" s="1">
        <f>CEILING('мойки для партнеров'!J62*(1+'мойки с накруткой'!$S$2),100)</f>
        <v>22800</v>
      </c>
      <c r="K62" s="1">
        <f>CEILING('мойки для партнеров'!K62*(1+'мойки с накруткой'!$S$2),100)</f>
        <v>22700</v>
      </c>
      <c r="L62" s="1">
        <f>CEILING('мойки для партнеров'!L62*(1+'мойки с накруткой'!$S$2),100)</f>
        <v>22900</v>
      </c>
      <c r="M62" s="1">
        <f>CEILING('мойки для партнеров'!M62*(1+'мойки с накруткой'!$S$2),100)</f>
        <v>11100</v>
      </c>
      <c r="N62" s="1">
        <f>CEILING('мойки для партнеров'!N62*(1+'мойки с накруткой'!$S$2),100)</f>
        <v>11100</v>
      </c>
      <c r="O62" s="1">
        <f>CEILING('мойки для партнеров'!O62*(1+'мойки с накруткой'!$S$2),100)</f>
        <v>11100</v>
      </c>
      <c r="P62" s="28">
        <v>0</v>
      </c>
    </row>
    <row r="63" spans="1:16" x14ac:dyDescent="0.25">
      <c r="A63" s="37" t="s">
        <v>167</v>
      </c>
      <c r="B63" s="1">
        <f>CEILING('мойки для партнеров'!B63*(1+'мойки с накруткой'!$S$2),100)</f>
        <v>11200</v>
      </c>
      <c r="C63" s="1">
        <f>CEILING('мойки для партнеров'!C63*(1+'мойки с накруткой'!$S$2),100)</f>
        <v>11200</v>
      </c>
      <c r="D63" s="1">
        <f>CEILING('мойки для партнеров'!D63*(1+'мойки с накруткой'!$S$2),100)</f>
        <v>11300</v>
      </c>
      <c r="E63" s="1">
        <f>CEILING('мойки для партнеров'!E63*(1+'мойки с накруткой'!$S$2),100)</f>
        <v>11400</v>
      </c>
      <c r="F63" s="1">
        <f>CEILING('мойки для партнеров'!F63*(1+'мойки с накруткой'!$S$2),100)</f>
        <v>11400</v>
      </c>
      <c r="G63" s="1">
        <f>CEILING('мойки для партнеров'!G63*(1+'мойки с накруткой'!$S$2),100)</f>
        <v>11400</v>
      </c>
      <c r="H63" s="1">
        <f>CEILING('мойки для партнеров'!H63*(1+'мойки с накруткой'!$S$2),100)</f>
        <v>22600</v>
      </c>
      <c r="I63" s="1">
        <f>CEILING('мойки для партнеров'!I63*(1+'мойки с накруткой'!$S$2),100)</f>
        <v>22700</v>
      </c>
      <c r="J63" s="1">
        <f>CEILING('мойки для партнеров'!J63*(1+'мойки с накруткой'!$S$2),100)</f>
        <v>22700</v>
      </c>
      <c r="K63" s="1">
        <f>CEILING('мойки для партнеров'!K63*(1+'мойки с накруткой'!$S$2),100)</f>
        <v>22600</v>
      </c>
      <c r="L63" s="1">
        <f>CEILING('мойки для партнеров'!L63*(1+'мойки с накруткой'!$S$2),100)</f>
        <v>22800</v>
      </c>
      <c r="M63" s="1">
        <f>CEILING('мойки для партнеров'!M63*(1+'мойки с накруткой'!$S$2),100)</f>
        <v>11100</v>
      </c>
      <c r="N63" s="1">
        <f>CEILING('мойки для партнеров'!N63*(1+'мойки с накруткой'!$S$2),100)</f>
        <v>11100</v>
      </c>
      <c r="O63" s="1">
        <f>CEILING('мойки для партнеров'!O63*(1+'мойки с накруткой'!$S$2),100)</f>
        <v>11100</v>
      </c>
      <c r="P63" s="28">
        <v>0</v>
      </c>
    </row>
    <row r="64" spans="1:16" x14ac:dyDescent="0.25">
      <c r="A64" s="36" t="s">
        <v>168</v>
      </c>
      <c r="B64" s="1">
        <f>CEILING('мойки для партнеров'!B64*(1+'мойки с накруткой'!$S$2),100)</f>
        <v>11200</v>
      </c>
      <c r="C64" s="1">
        <f>CEILING('мойки для партнеров'!C64*(1+'мойки с накруткой'!$S$2),100)</f>
        <v>11200</v>
      </c>
      <c r="D64" s="1">
        <f>CEILING('мойки для партнеров'!D64*(1+'мойки с накруткой'!$S$2),100)</f>
        <v>11300</v>
      </c>
      <c r="E64" s="1">
        <f>CEILING('мойки для партнеров'!E64*(1+'мойки с накруткой'!$S$2),100)</f>
        <v>11400</v>
      </c>
      <c r="F64" s="1">
        <f>CEILING('мойки для партнеров'!F64*(1+'мойки с накруткой'!$S$2),100)</f>
        <v>11400</v>
      </c>
      <c r="G64" s="1">
        <f>CEILING('мойки для партнеров'!G64*(1+'мойки с накруткой'!$S$2),100)</f>
        <v>11400</v>
      </c>
      <c r="H64" s="1">
        <f>CEILING('мойки для партнеров'!H64*(1+'мойки с накруткой'!$S$2),100)</f>
        <v>22600</v>
      </c>
      <c r="I64" s="1">
        <f>CEILING('мойки для партнеров'!I64*(1+'мойки с накруткой'!$S$2),100)</f>
        <v>22700</v>
      </c>
      <c r="J64" s="1">
        <f>CEILING('мойки для партнеров'!J64*(1+'мойки с накруткой'!$S$2),100)</f>
        <v>22700</v>
      </c>
      <c r="K64" s="1">
        <f>CEILING('мойки для партнеров'!K64*(1+'мойки с накруткой'!$S$2),100)</f>
        <v>22600</v>
      </c>
      <c r="L64" s="1">
        <f>CEILING('мойки для партнеров'!L64*(1+'мойки с накруткой'!$S$2),100)</f>
        <v>22800</v>
      </c>
      <c r="M64" s="1">
        <f>CEILING('мойки для партнеров'!M64*(1+'мойки с накруткой'!$S$2),100)</f>
        <v>11100</v>
      </c>
      <c r="N64" s="1">
        <f>CEILING('мойки для партнеров'!N64*(1+'мойки с накруткой'!$S$2),100)</f>
        <v>11100</v>
      </c>
      <c r="O64" s="1">
        <f>CEILING('мойки для партнеров'!O64*(1+'мойки с накруткой'!$S$2),100)</f>
        <v>11100</v>
      </c>
      <c r="P64" s="28">
        <v>0</v>
      </c>
    </row>
    <row r="65" spans="1:16" x14ac:dyDescent="0.25">
      <c r="A65" s="36" t="s">
        <v>279</v>
      </c>
      <c r="B65" s="1">
        <f>CEILING('мойки для партнеров'!B65*(1+'мойки с накруткой'!$S$2),100)</f>
        <v>11300</v>
      </c>
      <c r="C65" s="1">
        <f>CEILING('мойки для партнеров'!C65*(1+'мойки с накруткой'!$S$2),100)</f>
        <v>11400</v>
      </c>
      <c r="D65" s="1">
        <f>CEILING('мойки для партнеров'!D65*(1+'мойки с накруткой'!$S$2),100)</f>
        <v>11400</v>
      </c>
      <c r="E65" s="1">
        <f>CEILING('мойки для партнеров'!E65*(1+'мойки с накруткой'!$S$2),100)</f>
        <v>11500</v>
      </c>
      <c r="F65" s="1">
        <f>CEILING('мойки для партнеров'!F65*(1+'мойки с накруткой'!$S$2),100)</f>
        <v>11600</v>
      </c>
      <c r="G65" s="1">
        <f>CEILING('мойки для партнеров'!G65*(1+'мойки с накруткой'!$S$2),100)</f>
        <v>11500</v>
      </c>
      <c r="H65" s="1">
        <f>CEILING('мойки для партнеров'!H65*(1+'мойки с накруткой'!$S$2),100)</f>
        <v>22900</v>
      </c>
      <c r="I65" s="1">
        <f>CEILING('мойки для партнеров'!I65*(1+'мойки с накруткой'!$S$2),100)</f>
        <v>23000</v>
      </c>
      <c r="J65" s="1">
        <f>CEILING('мойки для партнеров'!J65*(1+'мойки с накруткой'!$S$2),100)</f>
        <v>23000</v>
      </c>
      <c r="K65" s="1">
        <f>CEILING('мойки для партнеров'!K65*(1+'мойки с накруткой'!$S$2),100)</f>
        <v>22800</v>
      </c>
      <c r="L65" s="1">
        <f>CEILING('мойки для партнеров'!L65*(1+'мойки с накруткой'!$S$2),100)</f>
        <v>23100</v>
      </c>
      <c r="M65" s="1">
        <f>CEILING('мойки для партнеров'!M65*(1+'мойки с накруткой'!$S$2),100)</f>
        <v>11200</v>
      </c>
      <c r="N65" s="1">
        <f>CEILING('мойки для партнеров'!N65*(1+'мойки с накруткой'!$S$2),100)</f>
        <v>11200</v>
      </c>
      <c r="O65" s="1">
        <f>CEILING('мойки для партнеров'!O65*(1+'мойки с накруткой'!$S$2),100)</f>
        <v>11200</v>
      </c>
      <c r="P65" s="28">
        <v>0</v>
      </c>
    </row>
    <row r="66" spans="1:16" x14ac:dyDescent="0.25">
      <c r="A66" s="36" t="s">
        <v>169</v>
      </c>
      <c r="B66" s="1">
        <f>CEILING('мойки для партнеров'!B66*(1+'мойки с накруткой'!$S$2),100)</f>
        <v>11300</v>
      </c>
      <c r="C66" s="1">
        <f>CEILING('мойки для партнеров'!C66*(1+'мойки с накруткой'!$S$2),100)</f>
        <v>11400</v>
      </c>
      <c r="D66" s="1">
        <f>CEILING('мойки для партнеров'!D66*(1+'мойки с накруткой'!$S$2),100)</f>
        <v>11500</v>
      </c>
      <c r="E66" s="1">
        <f>CEILING('мойки для партнеров'!E66*(1+'мойки с накруткой'!$S$2),100)</f>
        <v>11500</v>
      </c>
      <c r="F66" s="1">
        <f>CEILING('мойки для партнеров'!F66*(1+'мойки с накруткой'!$S$2),100)</f>
        <v>11600</v>
      </c>
      <c r="G66" s="1">
        <f>CEILING('мойки для партнеров'!G66*(1+'мойки с накруткой'!$S$2),100)</f>
        <v>11500</v>
      </c>
      <c r="H66" s="1">
        <f>CEILING('мойки для партнеров'!H66*(1+'мойки с накруткой'!$S$2),100)</f>
        <v>22900</v>
      </c>
      <c r="I66" s="1">
        <f>CEILING('мойки для партнеров'!I66*(1+'мойки с накруткой'!$S$2),100)</f>
        <v>23000</v>
      </c>
      <c r="J66" s="1">
        <f>CEILING('мойки для партнеров'!J66*(1+'мойки с накруткой'!$S$2),100)</f>
        <v>23000</v>
      </c>
      <c r="K66" s="1">
        <f>CEILING('мойки для партнеров'!K66*(1+'мойки с накруткой'!$S$2),100)</f>
        <v>22900</v>
      </c>
      <c r="L66" s="1">
        <f>CEILING('мойки для партнеров'!L66*(1+'мойки с накруткой'!$S$2),100)</f>
        <v>23200</v>
      </c>
      <c r="M66" s="1">
        <f>CEILING('мойки для партнеров'!M66*(1+'мойки с накруткой'!$S$2),100)</f>
        <v>11200</v>
      </c>
      <c r="N66" s="1">
        <f>CEILING('мойки для партнеров'!N66*(1+'мойки с накруткой'!$S$2),100)</f>
        <v>11200</v>
      </c>
      <c r="O66" s="1">
        <f>CEILING('мойки для партнеров'!O66*(1+'мойки с накруткой'!$S$2),100)</f>
        <v>11200</v>
      </c>
      <c r="P66" s="28">
        <v>0</v>
      </c>
    </row>
    <row r="67" spans="1:16" x14ac:dyDescent="0.25">
      <c r="A67" s="37" t="s">
        <v>170</v>
      </c>
      <c r="B67" s="1">
        <f>CEILING('мойки для партнеров'!B67*(1+'мойки с накруткой'!$S$2),100)</f>
        <v>11000</v>
      </c>
      <c r="C67" s="1">
        <f>CEILING('мойки для партнеров'!C67*(1+'мойки с накруткой'!$S$2),100)</f>
        <v>11000</v>
      </c>
      <c r="D67" s="1">
        <f>CEILING('мойки для партнеров'!D67*(1+'мойки с накруткой'!$S$2),100)</f>
        <v>11100</v>
      </c>
      <c r="E67" s="1">
        <f>CEILING('мойки для партнеров'!E67*(1+'мойки с накруткой'!$S$2),100)</f>
        <v>11100</v>
      </c>
      <c r="F67" s="1">
        <f>CEILING('мойки для партнеров'!F67*(1+'мойки с накруткой'!$S$2),100)</f>
        <v>11100</v>
      </c>
      <c r="G67" s="1">
        <f>CEILING('мойки для партнеров'!G67*(1+'мойки с накруткой'!$S$2),100)</f>
        <v>11100</v>
      </c>
      <c r="H67" s="1">
        <f>CEILING('мойки для партнеров'!H67*(1+'мойки с накруткой'!$S$2),100)</f>
        <v>22100</v>
      </c>
      <c r="I67" s="1">
        <f>CEILING('мойки для партнеров'!I67*(1+'мойки с накруткой'!$S$2),100)</f>
        <v>22100</v>
      </c>
      <c r="J67" s="1">
        <f>CEILING('мойки для партнеров'!J67*(1+'мойки с накруткой'!$S$2),100)</f>
        <v>22100</v>
      </c>
      <c r="K67" s="1">
        <f>CEILING('мойки для партнеров'!K67*(1+'мойки с накруткой'!$S$2),100)</f>
        <v>22100</v>
      </c>
      <c r="L67" s="1">
        <f>CEILING('мойки для партнеров'!L67*(1+'мойки с накруткой'!$S$2),100)</f>
        <v>22200</v>
      </c>
      <c r="M67" s="1">
        <f>CEILING('мойки для партнеров'!M67*(1+'мойки с накруткой'!$S$2),100)</f>
        <v>10900</v>
      </c>
      <c r="N67" s="1">
        <f>CEILING('мойки для партнеров'!N67*(1+'мойки с накруткой'!$S$2),100)</f>
        <v>10900</v>
      </c>
      <c r="O67" s="1">
        <f>CEILING('мойки для партнеров'!O67*(1+'мойки с накруткой'!$S$2),100)</f>
        <v>10900</v>
      </c>
      <c r="P67" s="28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O154"/>
  <sheetViews>
    <sheetView topLeftCell="A25" zoomScale="90" zoomScaleNormal="90" zoomScalePageLayoutView="90" workbookViewId="0">
      <selection activeCell="I7" sqref="I7"/>
    </sheetView>
  </sheetViews>
  <sheetFormatPr defaultColWidth="8.85546875" defaultRowHeight="15" x14ac:dyDescent="0.25"/>
  <cols>
    <col min="1" max="1" width="31.42578125" customWidth="1"/>
    <col min="2" max="2" width="13.28515625" customWidth="1"/>
    <col min="3" max="3" width="14.42578125" style="52" customWidth="1"/>
    <col min="4" max="4" width="13.28515625" customWidth="1"/>
    <col min="5" max="6" width="13.28515625" style="52" customWidth="1"/>
    <col min="7" max="7" width="13.28515625" customWidth="1"/>
    <col min="8" max="8" width="13.42578125" customWidth="1"/>
    <col min="9" max="9" width="14.140625" customWidth="1"/>
    <col min="10" max="10" width="12.28515625" customWidth="1"/>
    <col min="11" max="11" width="9.140625" customWidth="1"/>
    <col min="12" max="12" width="15.42578125" style="52" customWidth="1"/>
    <col min="13" max="13" width="11.42578125" customWidth="1"/>
    <col min="14" max="14" width="18.85546875" customWidth="1"/>
    <col min="15" max="15" width="12.42578125" customWidth="1"/>
  </cols>
  <sheetData>
    <row r="1" spans="1:15" x14ac:dyDescent="0.25">
      <c r="A1" s="451" t="s">
        <v>23</v>
      </c>
      <c r="B1" s="453" t="s">
        <v>59</v>
      </c>
      <c r="C1" s="453"/>
      <c r="D1" s="453"/>
      <c r="E1" s="453"/>
      <c r="F1" s="453"/>
      <c r="G1" s="453"/>
      <c r="H1" s="453"/>
      <c r="I1" s="454" t="s">
        <v>60</v>
      </c>
      <c r="J1" s="454"/>
      <c r="K1" s="1"/>
    </row>
    <row r="2" spans="1:15" ht="80.25" customHeight="1" x14ac:dyDescent="0.25">
      <c r="A2" s="452"/>
      <c r="B2" s="29" t="s">
        <v>140</v>
      </c>
      <c r="C2" s="29" t="s">
        <v>107</v>
      </c>
      <c r="D2" s="29" t="s">
        <v>172</v>
      </c>
      <c r="E2" s="29" t="s">
        <v>176</v>
      </c>
      <c r="F2" s="29" t="s">
        <v>174</v>
      </c>
      <c r="G2" s="30" t="s">
        <v>61</v>
      </c>
      <c r="H2" s="30" t="s">
        <v>62</v>
      </c>
      <c r="I2" s="31" t="s">
        <v>63</v>
      </c>
      <c r="J2" s="31" t="s">
        <v>62</v>
      </c>
      <c r="K2" s="119" t="s">
        <v>141</v>
      </c>
      <c r="L2" s="275" t="s">
        <v>280</v>
      </c>
    </row>
    <row r="3" spans="1:15" x14ac:dyDescent="0.25">
      <c r="A3" s="36" t="s">
        <v>26</v>
      </c>
      <c r="B3" s="52">
        <v>8.5191082802547768</v>
      </c>
      <c r="C3" s="60">
        <f t="shared" ref="C3:C16" si="0">B3*$M$12</f>
        <v>596.33757961783442</v>
      </c>
      <c r="D3" s="32">
        <v>1000</v>
      </c>
      <c r="E3" s="276">
        <v>0.01</v>
      </c>
      <c r="F3" s="173">
        <f>CEILING((C3+D3)*E3,100)+10000</f>
        <v>10100</v>
      </c>
      <c r="G3" s="33">
        <f t="shared" ref="G3:G16" si="1">CEILING(C3+D3+F3,100)</f>
        <v>11700</v>
      </c>
      <c r="H3" s="33">
        <f t="shared" ref="H3:H17" si="2">G3-6000</f>
        <v>5700</v>
      </c>
      <c r="I3" s="34">
        <f t="shared" ref="I3:I16" si="3">G3*(1+$M$4)</f>
        <v>11700</v>
      </c>
      <c r="J3" s="34">
        <f t="shared" ref="J3:J16" si="4">H3*(1+$M$4)</f>
        <v>5700</v>
      </c>
      <c r="K3" s="1">
        <v>1</v>
      </c>
      <c r="L3" s="176">
        <f>C3*2.8</f>
        <v>1669.7452229299363</v>
      </c>
      <c r="M3" s="455" t="s">
        <v>64</v>
      </c>
      <c r="N3" s="456"/>
    </row>
    <row r="4" spans="1:15" x14ac:dyDescent="0.25">
      <c r="A4" s="36" t="s">
        <v>27</v>
      </c>
      <c r="B4" s="52">
        <v>9.3949044585987256</v>
      </c>
      <c r="C4" s="60">
        <f t="shared" si="0"/>
        <v>657.64331210191074</v>
      </c>
      <c r="D4" s="302">
        <v>1000</v>
      </c>
      <c r="E4" s="276">
        <v>0.01</v>
      </c>
      <c r="F4" s="274">
        <f t="shared" ref="F4:F67" si="5">CEILING((C4+D4)*E4,100)+10000</f>
        <v>10100</v>
      </c>
      <c r="G4" s="33">
        <f t="shared" si="1"/>
        <v>11800</v>
      </c>
      <c r="H4" s="33">
        <f t="shared" si="2"/>
        <v>5800</v>
      </c>
      <c r="I4" s="34">
        <f t="shared" si="3"/>
        <v>11800</v>
      </c>
      <c r="J4" s="34">
        <f t="shared" si="4"/>
        <v>5800</v>
      </c>
      <c r="K4" s="1">
        <v>2</v>
      </c>
      <c r="L4" s="176">
        <f t="shared" ref="L4:L67" si="6">C4*2.8</f>
        <v>1841.4012738853498</v>
      </c>
      <c r="M4" s="35">
        <f>sys!C3</f>
        <v>0</v>
      </c>
      <c r="N4" s="9" t="s">
        <v>196</v>
      </c>
    </row>
    <row r="5" spans="1:15" x14ac:dyDescent="0.25">
      <c r="A5" s="36" t="s">
        <v>28</v>
      </c>
      <c r="B5" s="52">
        <v>9.7133757961783438</v>
      </c>
      <c r="C5" s="60">
        <f t="shared" si="0"/>
        <v>679.93630573248402</v>
      </c>
      <c r="D5" s="302">
        <v>1000</v>
      </c>
      <c r="E5" s="276">
        <v>0.01</v>
      </c>
      <c r="F5" s="274">
        <f t="shared" si="5"/>
        <v>10100</v>
      </c>
      <c r="G5" s="33">
        <f t="shared" si="1"/>
        <v>11800</v>
      </c>
      <c r="H5" s="33">
        <f t="shared" si="2"/>
        <v>5800</v>
      </c>
      <c r="I5" s="34">
        <f t="shared" si="3"/>
        <v>11800</v>
      </c>
      <c r="J5" s="34">
        <f t="shared" si="4"/>
        <v>5800</v>
      </c>
      <c r="K5" s="1">
        <v>3</v>
      </c>
      <c r="L5" s="176">
        <f t="shared" si="6"/>
        <v>1903.8216560509552</v>
      </c>
    </row>
    <row r="6" spans="1:15" x14ac:dyDescent="0.25">
      <c r="A6" s="36" t="s">
        <v>29</v>
      </c>
      <c r="B6" s="52">
        <v>10.270700636942674</v>
      </c>
      <c r="C6" s="60">
        <f t="shared" si="0"/>
        <v>718.94904458598717</v>
      </c>
      <c r="D6" s="302">
        <v>1000</v>
      </c>
      <c r="E6" s="276">
        <v>0.01</v>
      </c>
      <c r="F6" s="274">
        <f t="shared" si="5"/>
        <v>10100</v>
      </c>
      <c r="G6" s="33">
        <f t="shared" si="1"/>
        <v>11900</v>
      </c>
      <c r="H6" s="33">
        <f t="shared" si="2"/>
        <v>5900</v>
      </c>
      <c r="I6" s="34">
        <f t="shared" si="3"/>
        <v>11900</v>
      </c>
      <c r="J6" s="34">
        <f t="shared" si="4"/>
        <v>5900</v>
      </c>
      <c r="K6" s="1">
        <v>4</v>
      </c>
      <c r="L6" s="176">
        <f t="shared" si="6"/>
        <v>2013.0573248407638</v>
      </c>
    </row>
    <row r="7" spans="1:15" s="52" customFormat="1" x14ac:dyDescent="0.25">
      <c r="A7" s="36" t="s">
        <v>193</v>
      </c>
      <c r="B7" s="52">
        <v>11.385350318471337</v>
      </c>
      <c r="C7" s="60">
        <f t="shared" si="0"/>
        <v>796.97452229299358</v>
      </c>
      <c r="D7" s="302">
        <v>1000</v>
      </c>
      <c r="E7" s="276">
        <v>0.01</v>
      </c>
      <c r="F7" s="274">
        <f t="shared" si="5"/>
        <v>10100</v>
      </c>
      <c r="G7" s="33">
        <f t="shared" si="1"/>
        <v>11900</v>
      </c>
      <c r="H7" s="33">
        <f t="shared" si="2"/>
        <v>5900</v>
      </c>
      <c r="I7" s="34">
        <f t="shared" si="3"/>
        <v>11900</v>
      </c>
      <c r="J7" s="34">
        <f t="shared" si="4"/>
        <v>5900</v>
      </c>
      <c r="K7" s="1">
        <v>5</v>
      </c>
      <c r="L7" s="176">
        <f t="shared" si="6"/>
        <v>2231.5286624203818</v>
      </c>
    </row>
    <row r="8" spans="1:15" x14ac:dyDescent="0.25">
      <c r="A8" s="36" t="s">
        <v>194</v>
      </c>
      <c r="B8" s="52">
        <v>12.818471337579618</v>
      </c>
      <c r="C8" s="60">
        <f t="shared" si="0"/>
        <v>897.29299363057328</v>
      </c>
      <c r="D8" s="302">
        <v>1000</v>
      </c>
      <c r="E8" s="276">
        <v>0.01</v>
      </c>
      <c r="F8" s="274">
        <f t="shared" si="5"/>
        <v>10100</v>
      </c>
      <c r="G8" s="33">
        <f t="shared" si="1"/>
        <v>12000</v>
      </c>
      <c r="H8" s="33">
        <f t="shared" si="2"/>
        <v>6000</v>
      </c>
      <c r="I8" s="34">
        <f t="shared" si="3"/>
        <v>12000</v>
      </c>
      <c r="J8" s="34">
        <f t="shared" si="4"/>
        <v>6000</v>
      </c>
      <c r="K8" s="1">
        <v>6</v>
      </c>
      <c r="L8" s="176">
        <f t="shared" si="6"/>
        <v>2512.4203821656051</v>
      </c>
      <c r="M8" s="455"/>
      <c r="N8" s="456"/>
    </row>
    <row r="9" spans="1:15" s="52" customFormat="1" x14ac:dyDescent="0.25">
      <c r="A9" s="36" t="s">
        <v>195</v>
      </c>
      <c r="B9" s="52">
        <v>13.375796178343949</v>
      </c>
      <c r="C9" s="60">
        <f t="shared" si="0"/>
        <v>936.30573248407643</v>
      </c>
      <c r="D9" s="302">
        <v>1000</v>
      </c>
      <c r="E9" s="276">
        <v>0.01</v>
      </c>
      <c r="F9" s="274">
        <f t="shared" si="5"/>
        <v>10100</v>
      </c>
      <c r="G9" s="33">
        <f t="shared" si="1"/>
        <v>12100</v>
      </c>
      <c r="H9" s="33">
        <f t="shared" si="2"/>
        <v>6100</v>
      </c>
      <c r="I9" s="34">
        <f t="shared" si="3"/>
        <v>12100</v>
      </c>
      <c r="J9" s="34">
        <f t="shared" si="4"/>
        <v>6100</v>
      </c>
      <c r="K9" s="1">
        <v>7</v>
      </c>
      <c r="L9" s="176">
        <f t="shared" si="6"/>
        <v>2621.6560509554138</v>
      </c>
      <c r="M9" s="187"/>
      <c r="N9" s="188"/>
    </row>
    <row r="10" spans="1:15" x14ac:dyDescent="0.25">
      <c r="A10" s="36" t="s">
        <v>37</v>
      </c>
      <c r="B10" s="52">
        <v>7.1656050955414008</v>
      </c>
      <c r="C10" s="60">
        <f t="shared" si="0"/>
        <v>501.59235668789808</v>
      </c>
      <c r="D10" s="302">
        <v>1000</v>
      </c>
      <c r="E10" s="276">
        <v>0.01</v>
      </c>
      <c r="F10" s="274">
        <f t="shared" si="5"/>
        <v>10100</v>
      </c>
      <c r="G10" s="33">
        <f t="shared" si="1"/>
        <v>11700</v>
      </c>
      <c r="H10" s="33">
        <f t="shared" si="2"/>
        <v>5700</v>
      </c>
      <c r="I10" s="34">
        <f t="shared" si="3"/>
        <v>11700</v>
      </c>
      <c r="J10" s="34">
        <f t="shared" si="4"/>
        <v>5700</v>
      </c>
      <c r="K10" s="1">
        <v>8</v>
      </c>
      <c r="L10" s="176">
        <f t="shared" si="6"/>
        <v>1404.4585987261146</v>
      </c>
      <c r="M10" s="273"/>
      <c r="N10" s="9" t="s">
        <v>175</v>
      </c>
      <c r="O10" s="52" t="s">
        <v>200</v>
      </c>
    </row>
    <row r="11" spans="1:15" x14ac:dyDescent="0.25">
      <c r="A11" s="36" t="s">
        <v>38</v>
      </c>
      <c r="B11" s="52">
        <v>7.7229299363057322</v>
      </c>
      <c r="C11" s="60">
        <f t="shared" si="0"/>
        <v>540.60509554140128</v>
      </c>
      <c r="D11" s="302">
        <v>1000</v>
      </c>
      <c r="E11" s="276">
        <v>0.01</v>
      </c>
      <c r="F11" s="274">
        <f t="shared" si="5"/>
        <v>10100</v>
      </c>
      <c r="G11" s="33">
        <f t="shared" si="1"/>
        <v>11700</v>
      </c>
      <c r="H11" s="33">
        <f t="shared" si="2"/>
        <v>5700</v>
      </c>
      <c r="I11" s="34">
        <f t="shared" si="3"/>
        <v>11700</v>
      </c>
      <c r="J11" s="34">
        <f t="shared" si="4"/>
        <v>5700</v>
      </c>
      <c r="K11" s="1">
        <v>9</v>
      </c>
      <c r="L11" s="176">
        <f t="shared" si="6"/>
        <v>1513.6942675159235</v>
      </c>
    </row>
    <row r="12" spans="1:15" x14ac:dyDescent="0.25">
      <c r="A12" s="36" t="s">
        <v>39</v>
      </c>
      <c r="B12" s="52">
        <v>8.5191082802547768</v>
      </c>
      <c r="C12" s="60">
        <f t="shared" si="0"/>
        <v>596.33757961783442</v>
      </c>
      <c r="D12" s="302">
        <v>1000</v>
      </c>
      <c r="E12" s="276">
        <v>0.01</v>
      </c>
      <c r="F12" s="274">
        <f t="shared" si="5"/>
        <v>10100</v>
      </c>
      <c r="G12" s="33">
        <f t="shared" si="1"/>
        <v>11700</v>
      </c>
      <c r="H12" s="33">
        <f t="shared" si="2"/>
        <v>5700</v>
      </c>
      <c r="I12" s="34">
        <f t="shared" si="3"/>
        <v>11700</v>
      </c>
      <c r="J12" s="34">
        <f t="shared" si="4"/>
        <v>5700</v>
      </c>
      <c r="K12" s="1">
        <v>10</v>
      </c>
      <c r="L12" s="176">
        <f t="shared" si="6"/>
        <v>1669.7452229299363</v>
      </c>
      <c r="M12">
        <v>70</v>
      </c>
      <c r="N12" t="s">
        <v>66</v>
      </c>
    </row>
    <row r="13" spans="1:15" x14ac:dyDescent="0.25">
      <c r="A13" s="20" t="s">
        <v>10</v>
      </c>
      <c r="B13" s="52">
        <v>10.111464968152866</v>
      </c>
      <c r="C13" s="60">
        <f t="shared" si="0"/>
        <v>707.80254777070058</v>
      </c>
      <c r="D13" s="302">
        <v>1000</v>
      </c>
      <c r="E13" s="276">
        <v>0.01</v>
      </c>
      <c r="F13" s="274">
        <f t="shared" si="5"/>
        <v>10100</v>
      </c>
      <c r="G13" s="33">
        <f t="shared" si="1"/>
        <v>11900</v>
      </c>
      <c r="H13" s="33">
        <f t="shared" si="2"/>
        <v>5900</v>
      </c>
      <c r="I13" s="34">
        <f t="shared" si="3"/>
        <v>11900</v>
      </c>
      <c r="J13" s="34">
        <f t="shared" si="4"/>
        <v>5900</v>
      </c>
      <c r="K13" s="1">
        <v>11</v>
      </c>
      <c r="L13" s="176">
        <f t="shared" si="6"/>
        <v>1981.8471337579615</v>
      </c>
      <c r="M13" s="52"/>
    </row>
    <row r="14" spans="1:15" x14ac:dyDescent="0.25">
      <c r="A14" s="20" t="s">
        <v>11</v>
      </c>
      <c r="B14" s="52">
        <v>11.544585987261145</v>
      </c>
      <c r="C14" s="60">
        <f t="shared" si="0"/>
        <v>808.12101910828017</v>
      </c>
      <c r="D14" s="302">
        <v>1000</v>
      </c>
      <c r="E14" s="276">
        <v>0.01</v>
      </c>
      <c r="F14" s="274">
        <f t="shared" si="5"/>
        <v>10100</v>
      </c>
      <c r="G14" s="33">
        <f t="shared" si="1"/>
        <v>12000</v>
      </c>
      <c r="H14" s="33">
        <f t="shared" si="2"/>
        <v>6000</v>
      </c>
      <c r="I14" s="34">
        <f t="shared" si="3"/>
        <v>12000</v>
      </c>
      <c r="J14" s="34">
        <f t="shared" si="4"/>
        <v>6000</v>
      </c>
      <c r="K14" s="1">
        <v>12</v>
      </c>
      <c r="L14" s="176">
        <f t="shared" si="6"/>
        <v>2262.7388535031841</v>
      </c>
      <c r="M14" s="52"/>
      <c r="N14">
        <v>12.56</v>
      </c>
    </row>
    <row r="15" spans="1:15" x14ac:dyDescent="0.25">
      <c r="A15" s="20" t="s">
        <v>12</v>
      </c>
      <c r="B15" s="52">
        <v>12.659235668789808</v>
      </c>
      <c r="C15" s="60">
        <f t="shared" si="0"/>
        <v>886.14649681528658</v>
      </c>
      <c r="D15" s="302">
        <v>1000</v>
      </c>
      <c r="E15" s="276">
        <v>0.01</v>
      </c>
      <c r="F15" s="274">
        <f t="shared" si="5"/>
        <v>10100</v>
      </c>
      <c r="G15" s="33">
        <f t="shared" si="1"/>
        <v>12000</v>
      </c>
      <c r="H15" s="33">
        <f t="shared" si="2"/>
        <v>6000</v>
      </c>
      <c r="I15" s="34">
        <f t="shared" si="3"/>
        <v>12000</v>
      </c>
      <c r="J15" s="34">
        <f t="shared" si="4"/>
        <v>6000</v>
      </c>
      <c r="K15" s="1">
        <v>13</v>
      </c>
      <c r="L15" s="176">
        <f t="shared" si="6"/>
        <v>2481.2101910828023</v>
      </c>
      <c r="M15" s="56"/>
    </row>
    <row r="16" spans="1:15" x14ac:dyDescent="0.25">
      <c r="A16" s="20" t="s">
        <v>13</v>
      </c>
      <c r="B16" s="52">
        <v>13.853503184713375</v>
      </c>
      <c r="C16" s="60">
        <f t="shared" si="0"/>
        <v>969.74522292993629</v>
      </c>
      <c r="D16" s="302">
        <v>1000</v>
      </c>
      <c r="E16" s="276">
        <v>0.01</v>
      </c>
      <c r="F16" s="274">
        <f t="shared" si="5"/>
        <v>10100</v>
      </c>
      <c r="G16" s="33">
        <f t="shared" si="1"/>
        <v>12100</v>
      </c>
      <c r="H16" s="33">
        <f t="shared" si="2"/>
        <v>6100</v>
      </c>
      <c r="I16" s="34">
        <f t="shared" si="3"/>
        <v>12100</v>
      </c>
      <c r="J16" s="34">
        <f t="shared" si="4"/>
        <v>6100</v>
      </c>
      <c r="K16" s="1">
        <v>14</v>
      </c>
      <c r="L16" s="176">
        <f t="shared" si="6"/>
        <v>2715.2866242038212</v>
      </c>
      <c r="M16" s="52"/>
    </row>
    <row r="17" spans="1:14" s="52" customFormat="1" x14ac:dyDescent="0.25">
      <c r="A17" s="271" t="s">
        <v>272</v>
      </c>
      <c r="B17" s="52">
        <v>384.156050955414</v>
      </c>
      <c r="C17" s="272">
        <f>B17</f>
        <v>384.156050955414</v>
      </c>
      <c r="D17" s="302">
        <v>1000</v>
      </c>
      <c r="E17" s="276">
        <v>0.01</v>
      </c>
      <c r="F17" s="274">
        <f t="shared" si="5"/>
        <v>10100</v>
      </c>
      <c r="G17" s="33">
        <f t="shared" ref="G17" si="7">CEILING(C17+D17+F17,100)</f>
        <v>11500</v>
      </c>
      <c r="H17" s="33">
        <f t="shared" si="2"/>
        <v>5500</v>
      </c>
      <c r="I17" s="34">
        <f t="shared" ref="I17" si="8">G17*(1+$M$4)</f>
        <v>11500</v>
      </c>
      <c r="J17" s="34">
        <f t="shared" ref="J17" si="9">H17*(1+$M$4)</f>
        <v>5500</v>
      </c>
      <c r="K17" s="1"/>
      <c r="L17" s="176">
        <f t="shared" si="6"/>
        <v>1075.6369426751592</v>
      </c>
    </row>
    <row r="18" spans="1:14" x14ac:dyDescent="0.25">
      <c r="A18" s="36" t="s">
        <v>14</v>
      </c>
      <c r="B18" s="52">
        <v>511.94267515923565</v>
      </c>
      <c r="C18" s="272">
        <f t="shared" ref="C18:C27" si="10">B18</f>
        <v>511.94267515923565</v>
      </c>
      <c r="D18" s="302">
        <v>1000</v>
      </c>
      <c r="E18" s="276">
        <v>0.01</v>
      </c>
      <c r="F18" s="274">
        <f t="shared" si="5"/>
        <v>10100</v>
      </c>
      <c r="G18" s="33">
        <f t="shared" ref="G18:G39" si="11">CEILING(C18+D18+F18,100)</f>
        <v>11700</v>
      </c>
      <c r="H18" s="33">
        <f t="shared" ref="H18:H39" si="12">G18-6000</f>
        <v>5700</v>
      </c>
      <c r="I18" s="34">
        <f t="shared" ref="I18:I39" si="13">G18*(1+$M$4)</f>
        <v>11700</v>
      </c>
      <c r="J18" s="34">
        <f t="shared" ref="J18:J39" si="14">H18*(1+$M$4)</f>
        <v>5700</v>
      </c>
      <c r="K18" s="1">
        <v>15</v>
      </c>
      <c r="L18" s="176">
        <f t="shared" si="6"/>
        <v>1433.4394904458597</v>
      </c>
      <c r="M18" s="56"/>
    </row>
    <row r="19" spans="1:14" x14ac:dyDescent="0.25">
      <c r="A19" s="36" t="s">
        <v>15</v>
      </c>
      <c r="B19" s="52">
        <v>511.94267515923565</v>
      </c>
      <c r="C19" s="272">
        <f t="shared" si="10"/>
        <v>511.94267515923565</v>
      </c>
      <c r="D19" s="302">
        <v>1000</v>
      </c>
      <c r="E19" s="276">
        <v>0.01</v>
      </c>
      <c r="F19" s="274">
        <f t="shared" si="5"/>
        <v>10100</v>
      </c>
      <c r="G19" s="33">
        <f t="shared" si="11"/>
        <v>11700</v>
      </c>
      <c r="H19" s="33">
        <f t="shared" si="12"/>
        <v>5700</v>
      </c>
      <c r="I19" s="34">
        <f t="shared" si="13"/>
        <v>11700</v>
      </c>
      <c r="J19" s="34">
        <f t="shared" si="14"/>
        <v>5700</v>
      </c>
      <c r="K19" s="1">
        <v>16</v>
      </c>
      <c r="L19" s="176">
        <f t="shared" si="6"/>
        <v>1433.4394904458597</v>
      </c>
      <c r="M19" s="52"/>
    </row>
    <row r="20" spans="1:14" x14ac:dyDescent="0.25">
      <c r="A20" s="36" t="s">
        <v>197</v>
      </c>
      <c r="B20" s="52">
        <v>540.60509554140128</v>
      </c>
      <c r="C20" s="272">
        <f t="shared" si="10"/>
        <v>540.60509554140128</v>
      </c>
      <c r="D20" s="302">
        <v>1000</v>
      </c>
      <c r="E20" s="276">
        <v>0.01</v>
      </c>
      <c r="F20" s="274">
        <f t="shared" si="5"/>
        <v>10100</v>
      </c>
      <c r="G20" s="33">
        <f t="shared" si="11"/>
        <v>11700</v>
      </c>
      <c r="H20" s="33">
        <f t="shared" si="12"/>
        <v>5700</v>
      </c>
      <c r="I20" s="34">
        <f t="shared" si="13"/>
        <v>11700</v>
      </c>
      <c r="J20" s="34">
        <f t="shared" si="14"/>
        <v>5700</v>
      </c>
      <c r="K20" s="1">
        <v>17</v>
      </c>
      <c r="L20" s="176">
        <f t="shared" si="6"/>
        <v>1513.6942675159235</v>
      </c>
      <c r="M20" s="52"/>
    </row>
    <row r="21" spans="1:14" x14ac:dyDescent="0.25">
      <c r="A21" s="36" t="s">
        <v>17</v>
      </c>
      <c r="B21" s="52">
        <v>583.20063694267515</v>
      </c>
      <c r="C21" s="272">
        <f t="shared" si="10"/>
        <v>583.20063694267515</v>
      </c>
      <c r="D21" s="302">
        <v>1000</v>
      </c>
      <c r="E21" s="276">
        <v>0.01</v>
      </c>
      <c r="F21" s="274">
        <f t="shared" si="5"/>
        <v>10100</v>
      </c>
      <c r="G21" s="33">
        <f t="shared" si="11"/>
        <v>11700</v>
      </c>
      <c r="H21" s="33">
        <f t="shared" si="12"/>
        <v>5700</v>
      </c>
      <c r="I21" s="34">
        <f t="shared" si="13"/>
        <v>11700</v>
      </c>
      <c r="J21" s="34">
        <f t="shared" si="14"/>
        <v>5700</v>
      </c>
      <c r="K21" s="1">
        <v>18</v>
      </c>
      <c r="L21" s="176">
        <f t="shared" si="6"/>
        <v>1632.9617834394903</v>
      </c>
      <c r="M21" s="52"/>
    </row>
    <row r="22" spans="1:14" x14ac:dyDescent="0.25">
      <c r="A22" s="36" t="s">
        <v>18</v>
      </c>
      <c r="B22" s="52">
        <v>583.20063694267515</v>
      </c>
      <c r="C22" s="272">
        <f t="shared" si="10"/>
        <v>583.20063694267515</v>
      </c>
      <c r="D22" s="302">
        <v>1000</v>
      </c>
      <c r="E22" s="276">
        <v>0.01</v>
      </c>
      <c r="F22" s="274">
        <f t="shared" si="5"/>
        <v>10100</v>
      </c>
      <c r="G22" s="33">
        <f t="shared" si="11"/>
        <v>11700</v>
      </c>
      <c r="H22" s="33">
        <f t="shared" si="12"/>
        <v>5700</v>
      </c>
      <c r="I22" s="34">
        <f t="shared" si="13"/>
        <v>11700</v>
      </c>
      <c r="J22" s="34">
        <f t="shared" si="14"/>
        <v>5700</v>
      </c>
      <c r="K22" s="1">
        <v>19</v>
      </c>
      <c r="L22" s="176">
        <f t="shared" si="6"/>
        <v>1632.9617834394903</v>
      </c>
      <c r="M22" s="52"/>
    </row>
    <row r="23" spans="1:14" x14ac:dyDescent="0.25">
      <c r="A23" s="36" t="s">
        <v>19</v>
      </c>
      <c r="B23" s="52">
        <v>910.03184713375788</v>
      </c>
      <c r="C23" s="272">
        <f t="shared" si="10"/>
        <v>910.03184713375788</v>
      </c>
      <c r="D23" s="302">
        <v>1000</v>
      </c>
      <c r="E23" s="276">
        <v>0.01</v>
      </c>
      <c r="F23" s="274">
        <f t="shared" si="5"/>
        <v>10100</v>
      </c>
      <c r="G23" s="33">
        <f t="shared" si="11"/>
        <v>12100</v>
      </c>
      <c r="H23" s="33">
        <f t="shared" si="12"/>
        <v>6100</v>
      </c>
      <c r="I23" s="34">
        <f t="shared" si="13"/>
        <v>12100</v>
      </c>
      <c r="J23" s="34">
        <f t="shared" si="14"/>
        <v>6100</v>
      </c>
      <c r="K23" s="1">
        <v>20</v>
      </c>
      <c r="L23" s="176">
        <f t="shared" si="6"/>
        <v>2548.0891719745218</v>
      </c>
      <c r="M23" s="52"/>
      <c r="N23" s="56"/>
    </row>
    <row r="24" spans="1:14" x14ac:dyDescent="0.25">
      <c r="A24" s="36" t="s">
        <v>20</v>
      </c>
      <c r="B24" s="52">
        <v>995.22292993630572</v>
      </c>
      <c r="C24" s="272">
        <f t="shared" si="10"/>
        <v>995.22292993630572</v>
      </c>
      <c r="D24" s="302">
        <v>1000</v>
      </c>
      <c r="E24" s="276">
        <v>0.01</v>
      </c>
      <c r="F24" s="274">
        <f t="shared" si="5"/>
        <v>10100</v>
      </c>
      <c r="G24" s="33">
        <f t="shared" si="11"/>
        <v>12100</v>
      </c>
      <c r="H24" s="33">
        <f t="shared" si="12"/>
        <v>6100</v>
      </c>
      <c r="I24" s="34">
        <f t="shared" si="13"/>
        <v>12100</v>
      </c>
      <c r="J24" s="34">
        <f t="shared" si="14"/>
        <v>6100</v>
      </c>
      <c r="K24" s="1">
        <v>21</v>
      </c>
      <c r="L24" s="176">
        <f t="shared" si="6"/>
        <v>2786.624203821656</v>
      </c>
      <c r="M24" s="52"/>
    </row>
    <row r="25" spans="1:14" s="52" customFormat="1" x14ac:dyDescent="0.25">
      <c r="A25" s="271" t="s">
        <v>273</v>
      </c>
      <c r="B25" s="52">
        <v>995.22292993630572</v>
      </c>
      <c r="C25" s="272">
        <f t="shared" si="10"/>
        <v>995.22292993630572</v>
      </c>
      <c r="D25" s="302">
        <v>1000</v>
      </c>
      <c r="E25" s="276">
        <v>0.01</v>
      </c>
      <c r="F25" s="274">
        <f t="shared" si="5"/>
        <v>10100</v>
      </c>
      <c r="G25" s="33">
        <f t="shared" ref="G25" si="15">CEILING(C25+D25+F25,100)</f>
        <v>12100</v>
      </c>
      <c r="H25" s="33">
        <f t="shared" ref="H25" si="16">G25-6000</f>
        <v>6100</v>
      </c>
      <c r="I25" s="34">
        <f t="shared" ref="I25" si="17">G25*(1+$M$4)</f>
        <v>12100</v>
      </c>
      <c r="J25" s="34">
        <f t="shared" ref="J25" si="18">H25*(1+$M$4)</f>
        <v>6100</v>
      </c>
      <c r="K25" s="1"/>
      <c r="L25" s="176">
        <f t="shared" si="6"/>
        <v>2786.624203821656</v>
      </c>
    </row>
    <row r="26" spans="1:14" x14ac:dyDescent="0.25">
      <c r="A26" s="36" t="s">
        <v>21</v>
      </c>
      <c r="B26" s="52">
        <v>1080.812101910828</v>
      </c>
      <c r="C26" s="272">
        <f t="shared" si="10"/>
        <v>1080.812101910828</v>
      </c>
      <c r="D26" s="302">
        <v>1000</v>
      </c>
      <c r="E26" s="276">
        <v>0.01</v>
      </c>
      <c r="F26" s="274">
        <f t="shared" si="5"/>
        <v>10100</v>
      </c>
      <c r="G26" s="33">
        <f t="shared" si="11"/>
        <v>12200</v>
      </c>
      <c r="H26" s="33">
        <f t="shared" si="12"/>
        <v>6200</v>
      </c>
      <c r="I26" s="34">
        <f t="shared" si="13"/>
        <v>12200</v>
      </c>
      <c r="J26" s="34">
        <f t="shared" si="14"/>
        <v>6200</v>
      </c>
      <c r="K26" s="1">
        <v>22</v>
      </c>
      <c r="L26" s="176">
        <f t="shared" si="6"/>
        <v>3026.2738853503183</v>
      </c>
      <c r="M26" s="52"/>
    </row>
    <row r="27" spans="1:14" s="52" customFormat="1" x14ac:dyDescent="0.25">
      <c r="A27" s="271" t="s">
        <v>274</v>
      </c>
      <c r="B27" s="52">
        <v>1109.0764331210191</v>
      </c>
      <c r="C27" s="272">
        <f t="shared" si="10"/>
        <v>1109.0764331210191</v>
      </c>
      <c r="D27" s="302">
        <v>1000</v>
      </c>
      <c r="E27" s="276">
        <v>0.01</v>
      </c>
      <c r="F27" s="274">
        <f t="shared" si="5"/>
        <v>10100</v>
      </c>
      <c r="G27" s="33">
        <f t="shared" ref="G27" si="19">CEILING(C27+D27+F27,100)</f>
        <v>12300</v>
      </c>
      <c r="H27" s="33">
        <f t="shared" ref="H27" si="20">G27-6000</f>
        <v>6300</v>
      </c>
      <c r="I27" s="34">
        <f t="shared" ref="I27" si="21">G27*(1+$M$4)</f>
        <v>12300</v>
      </c>
      <c r="J27" s="34">
        <f t="shared" ref="J27" si="22">H27*(1+$M$4)</f>
        <v>6300</v>
      </c>
      <c r="K27" s="1"/>
      <c r="L27" s="176">
        <f t="shared" si="6"/>
        <v>3105.4140127388532</v>
      </c>
    </row>
    <row r="28" spans="1:14" x14ac:dyDescent="0.25">
      <c r="A28" s="36" t="s">
        <v>67</v>
      </c>
      <c r="B28" s="52">
        <v>7.8821656050955413</v>
      </c>
      <c r="C28" s="60">
        <f t="shared" ref="C28:C68" si="23">B28*$M$12</f>
        <v>551.75159235668787</v>
      </c>
      <c r="D28" s="302">
        <v>1000</v>
      </c>
      <c r="E28" s="276">
        <v>0.01</v>
      </c>
      <c r="F28" s="274">
        <f t="shared" si="5"/>
        <v>10100</v>
      </c>
      <c r="G28" s="33">
        <f t="shared" si="11"/>
        <v>11700</v>
      </c>
      <c r="H28" s="33">
        <f t="shared" si="12"/>
        <v>5700</v>
      </c>
      <c r="I28" s="34">
        <f t="shared" si="13"/>
        <v>11700</v>
      </c>
      <c r="J28" s="34">
        <f t="shared" si="14"/>
        <v>5700</v>
      </c>
      <c r="K28" s="1">
        <v>23</v>
      </c>
      <c r="L28" s="176">
        <f t="shared" si="6"/>
        <v>1544.904458598726</v>
      </c>
      <c r="M28" s="52"/>
    </row>
    <row r="29" spans="1:14" x14ac:dyDescent="0.25">
      <c r="A29" s="36" t="s">
        <v>68</v>
      </c>
      <c r="B29" s="52">
        <v>8.9171974522292992</v>
      </c>
      <c r="C29" s="60">
        <f t="shared" si="23"/>
        <v>624.20382165605099</v>
      </c>
      <c r="D29" s="302">
        <v>1000</v>
      </c>
      <c r="E29" s="276">
        <v>0.01</v>
      </c>
      <c r="F29" s="274">
        <f t="shared" si="5"/>
        <v>10100</v>
      </c>
      <c r="G29" s="33">
        <f t="shared" si="11"/>
        <v>11800</v>
      </c>
      <c r="H29" s="33">
        <f t="shared" si="12"/>
        <v>5800</v>
      </c>
      <c r="I29" s="34">
        <f t="shared" si="13"/>
        <v>11800</v>
      </c>
      <c r="J29" s="34">
        <f t="shared" si="14"/>
        <v>5800</v>
      </c>
      <c r="K29" s="1">
        <v>24</v>
      </c>
      <c r="L29" s="176">
        <f t="shared" si="6"/>
        <v>1747.7707006369426</v>
      </c>
      <c r="M29" s="52"/>
    </row>
    <row r="30" spans="1:14" x14ac:dyDescent="0.25">
      <c r="A30" s="36" t="s">
        <v>69</v>
      </c>
      <c r="B30" s="52">
        <v>15.525477707006369</v>
      </c>
      <c r="C30" s="60">
        <f t="shared" si="23"/>
        <v>1086.7834394904457</v>
      </c>
      <c r="D30" s="302">
        <v>1000</v>
      </c>
      <c r="E30" s="276">
        <v>0.01</v>
      </c>
      <c r="F30" s="274">
        <f t="shared" si="5"/>
        <v>10100</v>
      </c>
      <c r="G30" s="33">
        <f t="shared" si="11"/>
        <v>12200</v>
      </c>
      <c r="H30" s="33">
        <f t="shared" si="12"/>
        <v>6200</v>
      </c>
      <c r="I30" s="34">
        <f t="shared" si="13"/>
        <v>12200</v>
      </c>
      <c r="J30" s="34">
        <f t="shared" si="14"/>
        <v>6200</v>
      </c>
      <c r="K30" s="1">
        <v>25</v>
      </c>
      <c r="L30" s="176">
        <f t="shared" si="6"/>
        <v>3042.9936305732481</v>
      </c>
      <c r="M30" s="52"/>
    </row>
    <row r="31" spans="1:14" x14ac:dyDescent="0.25">
      <c r="A31" s="36" t="s">
        <v>147</v>
      </c>
      <c r="B31" s="52">
        <v>9.872611464968152</v>
      </c>
      <c r="C31" s="60">
        <f t="shared" si="23"/>
        <v>691.0828025477706</v>
      </c>
      <c r="D31" s="302">
        <v>1000</v>
      </c>
      <c r="E31" s="276">
        <v>0.01</v>
      </c>
      <c r="F31" s="274">
        <f t="shared" si="5"/>
        <v>10100</v>
      </c>
      <c r="G31" s="33">
        <f t="shared" si="11"/>
        <v>11800</v>
      </c>
      <c r="H31" s="33">
        <f t="shared" si="12"/>
        <v>5800</v>
      </c>
      <c r="I31" s="34">
        <f t="shared" si="13"/>
        <v>11800</v>
      </c>
      <c r="J31" s="34">
        <f t="shared" si="14"/>
        <v>5800</v>
      </c>
      <c r="K31" s="1">
        <v>26</v>
      </c>
      <c r="L31" s="176">
        <f t="shared" si="6"/>
        <v>1935.0318471337575</v>
      </c>
      <c r="M31" s="52"/>
    </row>
    <row r="32" spans="1:14" x14ac:dyDescent="0.25">
      <c r="A32" s="36" t="s">
        <v>151</v>
      </c>
      <c r="B32" s="52">
        <v>9.872611464968152</v>
      </c>
      <c r="C32" s="60">
        <f t="shared" ref="C32:C38" si="24">B32*$M$12</f>
        <v>691.0828025477706</v>
      </c>
      <c r="D32" s="302">
        <v>1000</v>
      </c>
      <c r="E32" s="276">
        <v>0.01</v>
      </c>
      <c r="F32" s="274">
        <f t="shared" si="5"/>
        <v>10100</v>
      </c>
      <c r="G32" s="33">
        <f t="shared" ref="G32:G38" si="25">CEILING(C32+D32+F32,100)</f>
        <v>11800</v>
      </c>
      <c r="H32" s="33">
        <f t="shared" ref="H32:H38" si="26">G32-6000</f>
        <v>5800</v>
      </c>
      <c r="I32" s="34">
        <f t="shared" ref="I32:J38" si="27">G32*(1+$M$4)</f>
        <v>11800</v>
      </c>
      <c r="J32" s="34">
        <f t="shared" si="27"/>
        <v>5800</v>
      </c>
      <c r="K32" s="1">
        <v>30</v>
      </c>
      <c r="L32" s="176">
        <f t="shared" ref="L32:L38" si="28">C32*2.8</f>
        <v>1935.0318471337575</v>
      </c>
      <c r="M32" s="52"/>
    </row>
    <row r="33" spans="1:13" x14ac:dyDescent="0.25">
      <c r="A33" s="36" t="s">
        <v>148</v>
      </c>
      <c r="B33" s="52">
        <v>10.668789808917197</v>
      </c>
      <c r="C33" s="60">
        <f t="shared" si="24"/>
        <v>746.81528662420374</v>
      </c>
      <c r="D33" s="302">
        <v>1000</v>
      </c>
      <c r="E33" s="276">
        <v>0.01</v>
      </c>
      <c r="F33" s="274">
        <f t="shared" si="5"/>
        <v>10100</v>
      </c>
      <c r="G33" s="33">
        <f t="shared" si="25"/>
        <v>11900</v>
      </c>
      <c r="H33" s="33">
        <f t="shared" si="26"/>
        <v>5900</v>
      </c>
      <c r="I33" s="34">
        <f t="shared" si="27"/>
        <v>11900</v>
      </c>
      <c r="J33" s="34">
        <f t="shared" si="27"/>
        <v>5900</v>
      </c>
      <c r="K33" s="1">
        <v>27</v>
      </c>
      <c r="L33" s="176">
        <f t="shared" si="28"/>
        <v>2091.0828025477704</v>
      </c>
      <c r="M33" s="52"/>
    </row>
    <row r="34" spans="1:13" x14ac:dyDescent="0.25">
      <c r="A34" s="36" t="s">
        <v>150</v>
      </c>
      <c r="B34" s="52">
        <v>10.748407643312101</v>
      </c>
      <c r="C34" s="60">
        <f t="shared" si="24"/>
        <v>752.38853503184703</v>
      </c>
      <c r="D34" s="302">
        <v>1000</v>
      </c>
      <c r="E34" s="276">
        <v>0.01</v>
      </c>
      <c r="F34" s="274">
        <f t="shared" si="5"/>
        <v>10100</v>
      </c>
      <c r="G34" s="33">
        <f t="shared" si="25"/>
        <v>11900</v>
      </c>
      <c r="H34" s="33">
        <f t="shared" si="26"/>
        <v>5900</v>
      </c>
      <c r="I34" s="34">
        <f t="shared" si="27"/>
        <v>11900</v>
      </c>
      <c r="J34" s="34">
        <f t="shared" si="27"/>
        <v>5900</v>
      </c>
      <c r="K34" s="1">
        <v>29</v>
      </c>
      <c r="L34" s="176">
        <f t="shared" si="28"/>
        <v>2106.6878980891715</v>
      </c>
      <c r="M34" s="52" t="s">
        <v>181</v>
      </c>
    </row>
    <row r="35" spans="1:13" x14ac:dyDescent="0.25">
      <c r="A35" s="36" t="s">
        <v>149</v>
      </c>
      <c r="B35" s="52">
        <v>11.305732484076433</v>
      </c>
      <c r="C35" s="60">
        <f t="shared" si="24"/>
        <v>791.40127388535029</v>
      </c>
      <c r="D35" s="302">
        <v>1000</v>
      </c>
      <c r="E35" s="276">
        <v>0.01</v>
      </c>
      <c r="F35" s="274">
        <f t="shared" si="5"/>
        <v>10100</v>
      </c>
      <c r="G35" s="33">
        <f t="shared" si="25"/>
        <v>11900</v>
      </c>
      <c r="H35" s="33">
        <f t="shared" si="26"/>
        <v>5900</v>
      </c>
      <c r="I35" s="34">
        <f t="shared" si="27"/>
        <v>11900</v>
      </c>
      <c r="J35" s="34">
        <f t="shared" si="27"/>
        <v>5900</v>
      </c>
      <c r="K35" s="1">
        <v>28</v>
      </c>
      <c r="L35" s="176">
        <f t="shared" si="28"/>
        <v>2215.9235668789806</v>
      </c>
      <c r="M35" s="52"/>
    </row>
    <row r="36" spans="1:13" x14ac:dyDescent="0.25">
      <c r="A36" s="36" t="s">
        <v>152</v>
      </c>
      <c r="B36" s="52">
        <v>15.286624203821656</v>
      </c>
      <c r="C36" s="60">
        <f t="shared" si="24"/>
        <v>1070.063694267516</v>
      </c>
      <c r="D36" s="302">
        <v>1000</v>
      </c>
      <c r="E36" s="276">
        <v>0.01</v>
      </c>
      <c r="F36" s="274">
        <f t="shared" si="5"/>
        <v>10100</v>
      </c>
      <c r="G36" s="33">
        <f t="shared" si="25"/>
        <v>12200</v>
      </c>
      <c r="H36" s="33">
        <f t="shared" si="26"/>
        <v>6200</v>
      </c>
      <c r="I36" s="34">
        <f t="shared" si="27"/>
        <v>12200</v>
      </c>
      <c r="J36" s="34">
        <f t="shared" si="27"/>
        <v>6200</v>
      </c>
      <c r="K36" s="1">
        <v>31</v>
      </c>
      <c r="L36" s="176">
        <f t="shared" si="28"/>
        <v>2996.1783439490446</v>
      </c>
      <c r="M36" s="52"/>
    </row>
    <row r="37" spans="1:13" x14ac:dyDescent="0.25">
      <c r="A37" s="36" t="s">
        <v>153</v>
      </c>
      <c r="B37" s="52">
        <v>15.286624203821656</v>
      </c>
      <c r="C37" s="60">
        <f t="shared" si="24"/>
        <v>1070.063694267516</v>
      </c>
      <c r="D37" s="302">
        <v>1000</v>
      </c>
      <c r="E37" s="276">
        <v>0.01</v>
      </c>
      <c r="F37" s="274">
        <f t="shared" si="5"/>
        <v>10100</v>
      </c>
      <c r="G37" s="33">
        <f t="shared" si="25"/>
        <v>12200</v>
      </c>
      <c r="H37" s="33">
        <f t="shared" si="26"/>
        <v>6200</v>
      </c>
      <c r="I37" s="34">
        <f t="shared" si="27"/>
        <v>12200</v>
      </c>
      <c r="J37" s="34">
        <f t="shared" si="27"/>
        <v>6200</v>
      </c>
      <c r="K37" s="1">
        <v>32</v>
      </c>
      <c r="L37" s="176">
        <f t="shared" si="28"/>
        <v>2996.1783439490446</v>
      </c>
      <c r="M37" s="52"/>
    </row>
    <row r="38" spans="1:13" x14ac:dyDescent="0.25">
      <c r="A38" s="36" t="s">
        <v>154</v>
      </c>
      <c r="B38" s="52">
        <v>18.073248407643312</v>
      </c>
      <c r="C38" s="60">
        <f t="shared" si="24"/>
        <v>1265.127388535032</v>
      </c>
      <c r="D38" s="302">
        <v>1000</v>
      </c>
      <c r="E38" s="276">
        <v>0.01</v>
      </c>
      <c r="F38" s="274">
        <f t="shared" si="5"/>
        <v>10100</v>
      </c>
      <c r="G38" s="33">
        <f t="shared" si="25"/>
        <v>12400</v>
      </c>
      <c r="H38" s="33">
        <f t="shared" si="26"/>
        <v>6400</v>
      </c>
      <c r="I38" s="34">
        <f t="shared" si="27"/>
        <v>12400</v>
      </c>
      <c r="J38" s="34">
        <f t="shared" si="27"/>
        <v>6400</v>
      </c>
      <c r="K38" s="1">
        <v>33</v>
      </c>
      <c r="L38" s="176">
        <f t="shared" si="28"/>
        <v>3542.3566878980891</v>
      </c>
      <c r="M38" s="52"/>
    </row>
    <row r="39" spans="1:13" x14ac:dyDescent="0.25">
      <c r="A39" s="36" t="s">
        <v>70</v>
      </c>
      <c r="B39" s="52">
        <v>7.8821656050955413</v>
      </c>
      <c r="C39" s="60">
        <f t="shared" si="23"/>
        <v>551.75159235668787</v>
      </c>
      <c r="D39" s="302">
        <v>1000</v>
      </c>
      <c r="E39" s="276">
        <v>0.01</v>
      </c>
      <c r="F39" s="274">
        <f t="shared" si="5"/>
        <v>10100</v>
      </c>
      <c r="G39" s="33">
        <f t="shared" si="11"/>
        <v>11700</v>
      </c>
      <c r="H39" s="33">
        <f t="shared" si="12"/>
        <v>5700</v>
      </c>
      <c r="I39" s="34">
        <f t="shared" si="13"/>
        <v>11700</v>
      </c>
      <c r="J39" s="34">
        <f t="shared" si="14"/>
        <v>5700</v>
      </c>
      <c r="K39" s="1">
        <v>34</v>
      </c>
      <c r="L39" s="176">
        <f t="shared" si="6"/>
        <v>1544.904458598726</v>
      </c>
      <c r="M39" s="52"/>
    </row>
    <row r="40" spans="1:13" x14ac:dyDescent="0.25">
      <c r="A40" s="36" t="s">
        <v>198</v>
      </c>
      <c r="B40" s="52">
        <v>8.8375796178343951</v>
      </c>
      <c r="C40" s="60">
        <f t="shared" si="23"/>
        <v>618.6305732484077</v>
      </c>
      <c r="D40" s="302">
        <v>1000</v>
      </c>
      <c r="E40" s="276">
        <v>0.01</v>
      </c>
      <c r="F40" s="274">
        <f t="shared" si="5"/>
        <v>10100</v>
      </c>
      <c r="G40" s="33">
        <f t="shared" ref="G40:G68" si="29">CEILING(C40+D40+F40,100)</f>
        <v>11800</v>
      </c>
      <c r="H40" s="33">
        <f t="shared" ref="H40:H68" si="30">G40-6000</f>
        <v>5800</v>
      </c>
      <c r="I40" s="34">
        <f t="shared" ref="I40:I68" si="31">G40*(1+$M$4)</f>
        <v>11800</v>
      </c>
      <c r="J40" s="34">
        <f t="shared" ref="J40:J68" si="32">H40*(1+$M$4)</f>
        <v>5800</v>
      </c>
      <c r="K40" s="1">
        <v>35</v>
      </c>
      <c r="L40" s="176">
        <f t="shared" si="6"/>
        <v>1732.1656050955414</v>
      </c>
      <c r="M40" s="52"/>
    </row>
    <row r="41" spans="1:13" x14ac:dyDescent="0.25">
      <c r="A41" s="36" t="s">
        <v>199</v>
      </c>
      <c r="B41" s="52">
        <v>9.5541401273885338</v>
      </c>
      <c r="C41" s="60">
        <f t="shared" si="23"/>
        <v>668.78980891719732</v>
      </c>
      <c r="D41" s="302">
        <v>1000</v>
      </c>
      <c r="E41" s="276">
        <v>0.01</v>
      </c>
      <c r="F41" s="274">
        <f t="shared" si="5"/>
        <v>10100</v>
      </c>
      <c r="G41" s="33">
        <f t="shared" si="29"/>
        <v>11800</v>
      </c>
      <c r="H41" s="33">
        <f t="shared" si="30"/>
        <v>5800</v>
      </c>
      <c r="I41" s="34">
        <f t="shared" si="31"/>
        <v>11800</v>
      </c>
      <c r="J41" s="34">
        <f t="shared" si="32"/>
        <v>5800</v>
      </c>
      <c r="K41" s="1">
        <v>36</v>
      </c>
      <c r="L41" s="176">
        <f t="shared" si="6"/>
        <v>1872.6114649681524</v>
      </c>
      <c r="M41" s="52"/>
    </row>
    <row r="42" spans="1:13" x14ac:dyDescent="0.25">
      <c r="A42" s="36" t="s">
        <v>30</v>
      </c>
      <c r="B42" s="52">
        <v>12.34076433121019</v>
      </c>
      <c r="C42" s="60">
        <f t="shared" si="23"/>
        <v>863.8535031847133</v>
      </c>
      <c r="D42" s="302">
        <v>1000</v>
      </c>
      <c r="E42" s="276">
        <v>0.01</v>
      </c>
      <c r="F42" s="274">
        <f t="shared" si="5"/>
        <v>10100</v>
      </c>
      <c r="G42" s="33">
        <f t="shared" si="29"/>
        <v>12000</v>
      </c>
      <c r="H42" s="33">
        <f t="shared" si="30"/>
        <v>6000</v>
      </c>
      <c r="I42" s="34">
        <f t="shared" si="31"/>
        <v>12000</v>
      </c>
      <c r="J42" s="34">
        <f t="shared" si="32"/>
        <v>6000</v>
      </c>
      <c r="K42" s="1">
        <v>37</v>
      </c>
      <c r="L42" s="176">
        <f t="shared" si="6"/>
        <v>2418.7898089171972</v>
      </c>
      <c r="M42" s="52"/>
    </row>
    <row r="43" spans="1:13" x14ac:dyDescent="0.25">
      <c r="A43" s="36" t="s">
        <v>31</v>
      </c>
      <c r="B43" s="52">
        <v>12.34076433121019</v>
      </c>
      <c r="C43" s="60">
        <f t="shared" si="23"/>
        <v>863.8535031847133</v>
      </c>
      <c r="D43" s="302">
        <v>1000</v>
      </c>
      <c r="E43" s="276">
        <v>0.01</v>
      </c>
      <c r="F43" s="274">
        <f t="shared" si="5"/>
        <v>10100</v>
      </c>
      <c r="G43" s="33">
        <f t="shared" si="29"/>
        <v>12000</v>
      </c>
      <c r="H43" s="33">
        <f t="shared" si="30"/>
        <v>6000</v>
      </c>
      <c r="I43" s="34">
        <f t="shared" si="31"/>
        <v>12000</v>
      </c>
      <c r="J43" s="34">
        <f t="shared" si="32"/>
        <v>6000</v>
      </c>
      <c r="K43" s="1">
        <v>38</v>
      </c>
      <c r="L43" s="176">
        <f t="shared" si="6"/>
        <v>2418.7898089171972</v>
      </c>
      <c r="M43" s="52"/>
    </row>
    <row r="44" spans="1:13" x14ac:dyDescent="0.25">
      <c r="A44" s="36" t="s">
        <v>132</v>
      </c>
      <c r="B44" s="52">
        <v>13.933121019108279</v>
      </c>
      <c r="C44" s="60">
        <f t="shared" si="23"/>
        <v>975.31847133757958</v>
      </c>
      <c r="D44" s="302">
        <v>1000</v>
      </c>
      <c r="E44" s="276">
        <v>0.01</v>
      </c>
      <c r="F44" s="274">
        <f t="shared" si="5"/>
        <v>10100</v>
      </c>
      <c r="G44" s="33">
        <f t="shared" si="29"/>
        <v>12100</v>
      </c>
      <c r="H44" s="33">
        <f t="shared" si="30"/>
        <v>6100</v>
      </c>
      <c r="I44" s="34">
        <f t="shared" si="31"/>
        <v>12100</v>
      </c>
      <c r="J44" s="34">
        <f t="shared" si="32"/>
        <v>6100</v>
      </c>
      <c r="K44" s="1">
        <v>39</v>
      </c>
      <c r="L44" s="176">
        <f t="shared" si="6"/>
        <v>2730.8917197452229</v>
      </c>
      <c r="M44" s="52"/>
    </row>
    <row r="45" spans="1:13" s="52" customFormat="1" x14ac:dyDescent="0.25">
      <c r="A45" s="271" t="s">
        <v>275</v>
      </c>
      <c r="B45" s="52">
        <v>13.933121019108279</v>
      </c>
      <c r="C45" s="60">
        <f t="shared" si="23"/>
        <v>975.31847133757958</v>
      </c>
      <c r="D45" s="302">
        <v>1000</v>
      </c>
      <c r="E45" s="276">
        <v>0.01</v>
      </c>
      <c r="F45" s="274">
        <f t="shared" si="5"/>
        <v>10100</v>
      </c>
      <c r="G45" s="33">
        <f t="shared" ref="G45" si="33">CEILING(C45+D45+F45,100)</f>
        <v>12100</v>
      </c>
      <c r="H45" s="33">
        <f t="shared" ref="H45" si="34">G45-6000</f>
        <v>6100</v>
      </c>
      <c r="I45" s="34">
        <f t="shared" ref="I45" si="35">G45*(1+$M$4)</f>
        <v>12100</v>
      </c>
      <c r="J45" s="34">
        <f t="shared" ref="J45" si="36">H45*(1+$M$4)</f>
        <v>6100</v>
      </c>
      <c r="K45" s="1"/>
      <c r="L45" s="176">
        <f t="shared" si="6"/>
        <v>2730.8917197452229</v>
      </c>
    </row>
    <row r="46" spans="1:13" x14ac:dyDescent="0.25">
      <c r="A46" s="271" t="s">
        <v>276</v>
      </c>
      <c r="B46" s="52">
        <v>5.5732484076433115</v>
      </c>
      <c r="C46" s="60">
        <f t="shared" si="23"/>
        <v>390.1273885350318</v>
      </c>
      <c r="D46" s="302">
        <v>1000</v>
      </c>
      <c r="E46" s="276">
        <v>0.01</v>
      </c>
      <c r="F46" s="274">
        <f t="shared" si="5"/>
        <v>10100</v>
      </c>
      <c r="G46" s="33">
        <f t="shared" si="29"/>
        <v>11500</v>
      </c>
      <c r="H46" s="33">
        <f t="shared" si="30"/>
        <v>5500</v>
      </c>
      <c r="I46" s="34">
        <f t="shared" si="31"/>
        <v>11500</v>
      </c>
      <c r="J46" s="34">
        <f t="shared" si="32"/>
        <v>5500</v>
      </c>
      <c r="K46" s="1">
        <v>40</v>
      </c>
      <c r="L46" s="176">
        <f t="shared" si="6"/>
        <v>1092.3566878980889</v>
      </c>
      <c r="M46" s="17"/>
    </row>
    <row r="47" spans="1:13" s="52" customFormat="1" x14ac:dyDescent="0.25">
      <c r="A47" s="36" t="s">
        <v>277</v>
      </c>
      <c r="B47" s="52">
        <v>6.2101910828025479</v>
      </c>
      <c r="C47" s="60">
        <f t="shared" si="23"/>
        <v>434.71337579617835</v>
      </c>
      <c r="D47" s="302">
        <v>1000</v>
      </c>
      <c r="E47" s="276">
        <v>0.01</v>
      </c>
      <c r="F47" s="274">
        <f t="shared" si="5"/>
        <v>10100</v>
      </c>
      <c r="G47" s="33">
        <f t="shared" ref="G47" si="37">CEILING(C47+D47+F47,100)</f>
        <v>11600</v>
      </c>
      <c r="H47" s="33">
        <f t="shared" ref="H47" si="38">G47-6000</f>
        <v>5600</v>
      </c>
      <c r="I47" s="34">
        <f t="shared" ref="I47" si="39">G47*(1+$M$4)</f>
        <v>11600</v>
      </c>
      <c r="J47" s="34">
        <f t="shared" ref="J47" si="40">H47*(1+$M$4)</f>
        <v>5600</v>
      </c>
      <c r="K47" s="1"/>
      <c r="L47" s="176">
        <f t="shared" si="6"/>
        <v>1217.1974522292994</v>
      </c>
      <c r="M47" s="17"/>
    </row>
    <row r="48" spans="1:13" x14ac:dyDescent="0.25">
      <c r="A48" s="36" t="s">
        <v>155</v>
      </c>
      <c r="B48" s="52">
        <v>6.7675159235668785</v>
      </c>
      <c r="C48" s="60">
        <f t="shared" si="23"/>
        <v>473.72611464968151</v>
      </c>
      <c r="D48" s="302">
        <v>1000</v>
      </c>
      <c r="E48" s="276">
        <v>0.01</v>
      </c>
      <c r="F48" s="274">
        <f t="shared" si="5"/>
        <v>10100</v>
      </c>
      <c r="G48" s="33">
        <f t="shared" si="29"/>
        <v>11600</v>
      </c>
      <c r="H48" s="33">
        <f t="shared" si="30"/>
        <v>5600</v>
      </c>
      <c r="I48" s="34">
        <f t="shared" si="31"/>
        <v>11600</v>
      </c>
      <c r="J48" s="34">
        <f t="shared" si="32"/>
        <v>5600</v>
      </c>
      <c r="K48" s="1">
        <v>41</v>
      </c>
      <c r="L48" s="176">
        <f t="shared" si="6"/>
        <v>1326.4331210191081</v>
      </c>
      <c r="M48" s="52"/>
    </row>
    <row r="49" spans="1:13" x14ac:dyDescent="0.25">
      <c r="A49" s="36" t="s">
        <v>179</v>
      </c>
      <c r="B49" s="52">
        <v>7.0063694267515917</v>
      </c>
      <c r="C49" s="60">
        <f t="shared" si="23"/>
        <v>490.44585987261144</v>
      </c>
      <c r="D49" s="302">
        <v>1000</v>
      </c>
      <c r="E49" s="276">
        <v>0.01</v>
      </c>
      <c r="F49" s="274">
        <f t="shared" si="5"/>
        <v>10100</v>
      </c>
      <c r="G49" s="33">
        <f t="shared" si="29"/>
        <v>11600</v>
      </c>
      <c r="H49" s="33">
        <f t="shared" si="30"/>
        <v>5600</v>
      </c>
      <c r="I49" s="34">
        <f t="shared" si="31"/>
        <v>11600</v>
      </c>
      <c r="J49" s="34">
        <f t="shared" si="32"/>
        <v>5600</v>
      </c>
      <c r="K49" s="1">
        <v>42</v>
      </c>
      <c r="L49" s="176">
        <f t="shared" si="6"/>
        <v>1373.248407643312</v>
      </c>
      <c r="M49" s="52"/>
    </row>
    <row r="50" spans="1:13" x14ac:dyDescent="0.25">
      <c r="A50" s="36" t="s">
        <v>180</v>
      </c>
      <c r="B50" s="52">
        <v>7.484076433121019</v>
      </c>
      <c r="C50" s="60">
        <f t="shared" si="23"/>
        <v>523.8853503184713</v>
      </c>
      <c r="D50" s="302">
        <v>1000</v>
      </c>
      <c r="E50" s="276">
        <v>0.01</v>
      </c>
      <c r="F50" s="274">
        <f t="shared" si="5"/>
        <v>10100</v>
      </c>
      <c r="G50" s="33">
        <f t="shared" si="29"/>
        <v>11700</v>
      </c>
      <c r="H50" s="33">
        <f t="shared" si="30"/>
        <v>5700</v>
      </c>
      <c r="I50" s="34">
        <f t="shared" si="31"/>
        <v>11700</v>
      </c>
      <c r="J50" s="34">
        <f t="shared" si="32"/>
        <v>5700</v>
      </c>
      <c r="K50" s="1">
        <v>43</v>
      </c>
      <c r="L50" s="176">
        <f t="shared" si="6"/>
        <v>1466.8789808917195</v>
      </c>
      <c r="M50" s="52"/>
    </row>
    <row r="51" spans="1:13" x14ac:dyDescent="0.25">
      <c r="A51" s="36" t="s">
        <v>156</v>
      </c>
      <c r="B51" s="52">
        <v>9.2356687898089174</v>
      </c>
      <c r="C51" s="60">
        <f t="shared" si="23"/>
        <v>646.49681528662427</v>
      </c>
      <c r="D51" s="302">
        <v>1000</v>
      </c>
      <c r="E51" s="276">
        <v>0.01</v>
      </c>
      <c r="F51" s="274">
        <f t="shared" si="5"/>
        <v>10100</v>
      </c>
      <c r="G51" s="33">
        <f t="shared" si="29"/>
        <v>11800</v>
      </c>
      <c r="H51" s="33">
        <f t="shared" si="30"/>
        <v>5800</v>
      </c>
      <c r="I51" s="34">
        <f t="shared" si="31"/>
        <v>11800</v>
      </c>
      <c r="J51" s="34">
        <f t="shared" si="32"/>
        <v>5800</v>
      </c>
      <c r="K51" s="1">
        <v>44</v>
      </c>
      <c r="L51" s="176">
        <f t="shared" si="6"/>
        <v>1810.1910828025477</v>
      </c>
      <c r="M51" s="52"/>
    </row>
    <row r="52" spans="1:13" x14ac:dyDescent="0.25">
      <c r="A52" s="36" t="s">
        <v>171</v>
      </c>
      <c r="B52" s="52">
        <v>9.2356687898089174</v>
      </c>
      <c r="C52" s="60">
        <f t="shared" si="23"/>
        <v>646.49681528662427</v>
      </c>
      <c r="D52" s="302">
        <v>1000</v>
      </c>
      <c r="E52" s="276">
        <v>0.01</v>
      </c>
      <c r="F52" s="274">
        <f t="shared" si="5"/>
        <v>10100</v>
      </c>
      <c r="G52" s="33">
        <f t="shared" si="29"/>
        <v>11800</v>
      </c>
      <c r="H52" s="33">
        <f t="shared" si="30"/>
        <v>5800</v>
      </c>
      <c r="I52" s="34">
        <f t="shared" si="31"/>
        <v>11800</v>
      </c>
      <c r="J52" s="34">
        <f t="shared" si="32"/>
        <v>5800</v>
      </c>
      <c r="K52" s="1">
        <v>45</v>
      </c>
      <c r="L52" s="176">
        <f t="shared" si="6"/>
        <v>1810.1910828025477</v>
      </c>
      <c r="M52" s="52"/>
    </row>
    <row r="53" spans="1:13" x14ac:dyDescent="0.25">
      <c r="A53" s="36" t="s">
        <v>157</v>
      </c>
      <c r="B53" s="52">
        <v>10.987261146496815</v>
      </c>
      <c r="C53" s="60">
        <f t="shared" si="23"/>
        <v>769.10828025477701</v>
      </c>
      <c r="D53" s="302">
        <v>1000</v>
      </c>
      <c r="E53" s="276">
        <v>0.01</v>
      </c>
      <c r="F53" s="274">
        <f t="shared" si="5"/>
        <v>10100</v>
      </c>
      <c r="G53" s="33">
        <f t="shared" si="29"/>
        <v>11900</v>
      </c>
      <c r="H53" s="33">
        <f t="shared" si="30"/>
        <v>5900</v>
      </c>
      <c r="I53" s="34">
        <f t="shared" si="31"/>
        <v>11900</v>
      </c>
      <c r="J53" s="34">
        <f t="shared" si="32"/>
        <v>5900</v>
      </c>
      <c r="K53" s="1">
        <v>46</v>
      </c>
      <c r="L53" s="176">
        <f t="shared" si="6"/>
        <v>2153.5031847133755</v>
      </c>
      <c r="M53" s="52"/>
    </row>
    <row r="54" spans="1:13" s="52" customFormat="1" x14ac:dyDescent="0.25">
      <c r="A54" s="271" t="s">
        <v>278</v>
      </c>
      <c r="B54" s="52">
        <v>12.022292993630574</v>
      </c>
      <c r="C54" s="60">
        <f t="shared" si="23"/>
        <v>841.56050955414014</v>
      </c>
      <c r="D54" s="302">
        <v>1000</v>
      </c>
      <c r="E54" s="276">
        <v>0.01</v>
      </c>
      <c r="F54" s="274">
        <f t="shared" si="5"/>
        <v>10100</v>
      </c>
      <c r="G54" s="33">
        <f t="shared" ref="G54" si="41">CEILING(C54+D54+F54,100)</f>
        <v>12000</v>
      </c>
      <c r="H54" s="33">
        <f t="shared" ref="H54" si="42">G54-6000</f>
        <v>6000</v>
      </c>
      <c r="I54" s="34">
        <f t="shared" ref="I54" si="43">G54*(1+$M$4)</f>
        <v>12000</v>
      </c>
      <c r="J54" s="34">
        <f t="shared" ref="J54" si="44">H54*(1+$M$4)</f>
        <v>6000</v>
      </c>
      <c r="K54" s="1"/>
      <c r="L54" s="176">
        <f t="shared" si="6"/>
        <v>2356.3694267515921</v>
      </c>
    </row>
    <row r="55" spans="1:13" x14ac:dyDescent="0.25">
      <c r="A55" s="36" t="s">
        <v>158</v>
      </c>
      <c r="B55" s="52">
        <v>7.7229299363057322</v>
      </c>
      <c r="C55" s="60">
        <f t="shared" si="23"/>
        <v>540.60509554140128</v>
      </c>
      <c r="D55" s="302">
        <v>1000</v>
      </c>
      <c r="E55" s="276">
        <v>0.01</v>
      </c>
      <c r="F55" s="274">
        <f t="shared" si="5"/>
        <v>10100</v>
      </c>
      <c r="G55" s="33">
        <f t="shared" si="29"/>
        <v>11700</v>
      </c>
      <c r="H55" s="33">
        <f t="shared" si="30"/>
        <v>5700</v>
      </c>
      <c r="I55" s="34">
        <f t="shared" si="31"/>
        <v>11700</v>
      </c>
      <c r="J55" s="34">
        <f t="shared" si="32"/>
        <v>5700</v>
      </c>
      <c r="K55" s="1">
        <v>47</v>
      </c>
      <c r="L55" s="176">
        <f t="shared" si="6"/>
        <v>1513.6942675159235</v>
      </c>
      <c r="M55" s="52"/>
    </row>
    <row r="56" spans="1:13" x14ac:dyDescent="0.25">
      <c r="A56" s="36" t="s">
        <v>159</v>
      </c>
      <c r="B56" s="52">
        <v>7.7229299363057322</v>
      </c>
      <c r="C56" s="60">
        <f t="shared" si="23"/>
        <v>540.60509554140128</v>
      </c>
      <c r="D56" s="302">
        <v>1000</v>
      </c>
      <c r="E56" s="276">
        <v>0.01</v>
      </c>
      <c r="F56" s="274">
        <f t="shared" si="5"/>
        <v>10100</v>
      </c>
      <c r="G56" s="33">
        <f t="shared" si="29"/>
        <v>11700</v>
      </c>
      <c r="H56" s="33">
        <f t="shared" si="30"/>
        <v>5700</v>
      </c>
      <c r="I56" s="34">
        <f t="shared" si="31"/>
        <v>11700</v>
      </c>
      <c r="J56" s="34">
        <f t="shared" si="32"/>
        <v>5700</v>
      </c>
      <c r="K56" s="1">
        <v>48</v>
      </c>
      <c r="L56" s="176">
        <f t="shared" si="6"/>
        <v>1513.6942675159235</v>
      </c>
      <c r="M56" s="52"/>
    </row>
    <row r="57" spans="1:13" x14ac:dyDescent="0.25">
      <c r="A57" s="36" t="s">
        <v>160</v>
      </c>
      <c r="B57" s="52">
        <v>8.2006369426751586</v>
      </c>
      <c r="C57" s="60">
        <f t="shared" si="23"/>
        <v>574.04458598726114</v>
      </c>
      <c r="D57" s="302">
        <v>1000</v>
      </c>
      <c r="E57" s="276">
        <v>0.01</v>
      </c>
      <c r="F57" s="274">
        <f t="shared" si="5"/>
        <v>10100</v>
      </c>
      <c r="G57" s="33">
        <f t="shared" si="29"/>
        <v>11700</v>
      </c>
      <c r="H57" s="33">
        <f t="shared" si="30"/>
        <v>5700</v>
      </c>
      <c r="I57" s="34">
        <f t="shared" si="31"/>
        <v>11700</v>
      </c>
      <c r="J57" s="34">
        <f t="shared" si="32"/>
        <v>5700</v>
      </c>
      <c r="K57" s="1">
        <v>49</v>
      </c>
      <c r="L57" s="176">
        <f t="shared" si="6"/>
        <v>1607.3248407643312</v>
      </c>
      <c r="M57" s="52"/>
    </row>
    <row r="58" spans="1:13" x14ac:dyDescent="0.25">
      <c r="A58" s="36" t="s">
        <v>161</v>
      </c>
      <c r="B58" s="52">
        <v>8.4394904458598727</v>
      </c>
      <c r="C58" s="60">
        <f t="shared" si="23"/>
        <v>590.76433121019113</v>
      </c>
      <c r="D58" s="302">
        <v>1000</v>
      </c>
      <c r="E58" s="276">
        <v>0.01</v>
      </c>
      <c r="F58" s="274">
        <f t="shared" si="5"/>
        <v>10100</v>
      </c>
      <c r="G58" s="33">
        <f t="shared" si="29"/>
        <v>11700</v>
      </c>
      <c r="H58" s="33">
        <f t="shared" si="30"/>
        <v>5700</v>
      </c>
      <c r="I58" s="34">
        <f t="shared" si="31"/>
        <v>11700</v>
      </c>
      <c r="J58" s="34">
        <f t="shared" si="32"/>
        <v>5700</v>
      </c>
      <c r="K58" s="1">
        <v>50</v>
      </c>
      <c r="L58" s="176">
        <f t="shared" si="6"/>
        <v>1654.1401273885351</v>
      </c>
      <c r="M58" s="52"/>
    </row>
    <row r="59" spans="1:13" x14ac:dyDescent="0.25">
      <c r="A59" s="36" t="s">
        <v>162</v>
      </c>
      <c r="B59" s="52">
        <v>8.4394904458598727</v>
      </c>
      <c r="C59" s="60">
        <f t="shared" si="23"/>
        <v>590.76433121019113</v>
      </c>
      <c r="D59" s="302">
        <v>1000</v>
      </c>
      <c r="E59" s="276">
        <v>0.01</v>
      </c>
      <c r="F59" s="274">
        <f t="shared" si="5"/>
        <v>10100</v>
      </c>
      <c r="G59" s="33">
        <f t="shared" si="29"/>
        <v>11700</v>
      </c>
      <c r="H59" s="33">
        <f t="shared" si="30"/>
        <v>5700</v>
      </c>
      <c r="I59" s="34">
        <f t="shared" si="31"/>
        <v>11700</v>
      </c>
      <c r="J59" s="34">
        <f t="shared" si="32"/>
        <v>5700</v>
      </c>
      <c r="K59" s="1">
        <v>51</v>
      </c>
      <c r="L59" s="176">
        <f t="shared" si="6"/>
        <v>1654.1401273885351</v>
      </c>
      <c r="M59" s="52"/>
    </row>
    <row r="60" spans="1:13" x14ac:dyDescent="0.25">
      <c r="A60" s="36" t="s">
        <v>163</v>
      </c>
      <c r="B60" s="52">
        <v>8.2006369426751586</v>
      </c>
      <c r="C60" s="60">
        <f t="shared" si="23"/>
        <v>574.04458598726114</v>
      </c>
      <c r="D60" s="302">
        <v>1000</v>
      </c>
      <c r="E60" s="276">
        <v>0.01</v>
      </c>
      <c r="F60" s="274">
        <f t="shared" si="5"/>
        <v>10100</v>
      </c>
      <c r="G60" s="33">
        <f t="shared" si="29"/>
        <v>11700</v>
      </c>
      <c r="H60" s="33">
        <f t="shared" si="30"/>
        <v>5700</v>
      </c>
      <c r="I60" s="34">
        <f t="shared" si="31"/>
        <v>11700</v>
      </c>
      <c r="J60" s="34">
        <f t="shared" si="32"/>
        <v>5700</v>
      </c>
      <c r="K60" s="1">
        <v>52</v>
      </c>
      <c r="L60" s="176">
        <f t="shared" si="6"/>
        <v>1607.3248407643312</v>
      </c>
      <c r="M60" s="52"/>
    </row>
    <row r="61" spans="1:13" x14ac:dyDescent="0.25">
      <c r="A61" s="36" t="s">
        <v>164</v>
      </c>
      <c r="B61" s="52">
        <v>8.8375796178343951</v>
      </c>
      <c r="C61" s="60">
        <f t="shared" si="23"/>
        <v>618.6305732484077</v>
      </c>
      <c r="D61" s="302">
        <v>1000</v>
      </c>
      <c r="E61" s="276">
        <v>0.01</v>
      </c>
      <c r="F61" s="274">
        <f t="shared" si="5"/>
        <v>10100</v>
      </c>
      <c r="G61" s="33">
        <f t="shared" si="29"/>
        <v>11800</v>
      </c>
      <c r="H61" s="33">
        <f t="shared" si="30"/>
        <v>5800</v>
      </c>
      <c r="I61" s="34">
        <f t="shared" si="31"/>
        <v>11800</v>
      </c>
      <c r="J61" s="34">
        <f t="shared" si="32"/>
        <v>5800</v>
      </c>
      <c r="K61" s="1">
        <v>53</v>
      </c>
      <c r="L61" s="176">
        <f t="shared" si="6"/>
        <v>1732.1656050955414</v>
      </c>
      <c r="M61" s="52"/>
    </row>
    <row r="62" spans="1:13" x14ac:dyDescent="0.25">
      <c r="A62" s="36" t="s">
        <v>165</v>
      </c>
      <c r="B62" s="52">
        <v>10.748407643312101</v>
      </c>
      <c r="C62" s="60">
        <f t="shared" si="23"/>
        <v>752.38853503184703</v>
      </c>
      <c r="D62" s="302">
        <v>1000</v>
      </c>
      <c r="E62" s="276">
        <v>0.01</v>
      </c>
      <c r="F62" s="274">
        <f t="shared" si="5"/>
        <v>10100</v>
      </c>
      <c r="G62" s="33">
        <f t="shared" si="29"/>
        <v>11900</v>
      </c>
      <c r="H62" s="33">
        <f t="shared" si="30"/>
        <v>5900</v>
      </c>
      <c r="I62" s="34">
        <f t="shared" si="31"/>
        <v>11900</v>
      </c>
      <c r="J62" s="34">
        <f t="shared" si="32"/>
        <v>5900</v>
      </c>
      <c r="K62" s="1">
        <v>54</v>
      </c>
      <c r="L62" s="176">
        <f t="shared" si="6"/>
        <v>2106.6878980891715</v>
      </c>
      <c r="M62" s="52"/>
    </row>
    <row r="63" spans="1:13" x14ac:dyDescent="0.25">
      <c r="A63" s="36" t="s">
        <v>166</v>
      </c>
      <c r="B63" s="52">
        <v>12.738853503184712</v>
      </c>
      <c r="C63" s="60">
        <f t="shared" si="23"/>
        <v>891.71974522292987</v>
      </c>
      <c r="D63" s="302">
        <v>1000</v>
      </c>
      <c r="E63" s="276">
        <v>0.01</v>
      </c>
      <c r="F63" s="274">
        <f t="shared" si="5"/>
        <v>10100</v>
      </c>
      <c r="G63" s="33">
        <f t="shared" si="29"/>
        <v>12000</v>
      </c>
      <c r="H63" s="33">
        <f t="shared" si="30"/>
        <v>6000</v>
      </c>
      <c r="I63" s="34">
        <f t="shared" si="31"/>
        <v>12000</v>
      </c>
      <c r="J63" s="34">
        <f t="shared" si="32"/>
        <v>6000</v>
      </c>
      <c r="K63" s="1">
        <v>55</v>
      </c>
      <c r="L63" s="176">
        <f t="shared" si="6"/>
        <v>2496.8152866242035</v>
      </c>
      <c r="M63" s="52"/>
    </row>
    <row r="64" spans="1:13" x14ac:dyDescent="0.25">
      <c r="A64" s="36" t="s">
        <v>167</v>
      </c>
      <c r="B64" s="52">
        <v>12.022292993630574</v>
      </c>
      <c r="C64" s="60">
        <f t="shared" si="23"/>
        <v>841.56050955414014</v>
      </c>
      <c r="D64" s="302">
        <v>1000</v>
      </c>
      <c r="E64" s="276">
        <v>0.01</v>
      </c>
      <c r="F64" s="274">
        <f t="shared" si="5"/>
        <v>10100</v>
      </c>
      <c r="G64" s="33">
        <f t="shared" si="29"/>
        <v>12000</v>
      </c>
      <c r="H64" s="33">
        <f t="shared" si="30"/>
        <v>6000</v>
      </c>
      <c r="I64" s="34">
        <f t="shared" si="31"/>
        <v>12000</v>
      </c>
      <c r="J64" s="34">
        <f t="shared" si="32"/>
        <v>6000</v>
      </c>
      <c r="K64" s="1">
        <v>56</v>
      </c>
      <c r="L64" s="176">
        <f t="shared" si="6"/>
        <v>2356.3694267515921</v>
      </c>
      <c r="M64" s="52"/>
    </row>
    <row r="65" spans="1:13" x14ac:dyDescent="0.25">
      <c r="A65" s="36" t="s">
        <v>168</v>
      </c>
      <c r="B65" s="52">
        <v>12.022292993630574</v>
      </c>
      <c r="C65" s="60">
        <f t="shared" si="23"/>
        <v>841.56050955414014</v>
      </c>
      <c r="D65" s="302">
        <v>1000</v>
      </c>
      <c r="E65" s="276">
        <v>0.01</v>
      </c>
      <c r="F65" s="274">
        <f t="shared" si="5"/>
        <v>10100</v>
      </c>
      <c r="G65" s="33">
        <f t="shared" si="29"/>
        <v>12000</v>
      </c>
      <c r="H65" s="33">
        <f t="shared" si="30"/>
        <v>6000</v>
      </c>
      <c r="I65" s="34">
        <f t="shared" si="31"/>
        <v>12000</v>
      </c>
      <c r="J65" s="34">
        <f t="shared" si="32"/>
        <v>6000</v>
      </c>
      <c r="K65" s="1">
        <v>57</v>
      </c>
      <c r="L65" s="176">
        <f t="shared" si="6"/>
        <v>2356.3694267515921</v>
      </c>
      <c r="M65" s="52"/>
    </row>
    <row r="66" spans="1:13" s="52" customFormat="1" x14ac:dyDescent="0.25">
      <c r="A66" s="36" t="s">
        <v>279</v>
      </c>
      <c r="B66" s="52">
        <v>14.012738853503183</v>
      </c>
      <c r="C66" s="60">
        <f t="shared" si="23"/>
        <v>980.89171974522287</v>
      </c>
      <c r="D66" s="302">
        <v>1000</v>
      </c>
      <c r="E66" s="276">
        <v>0.01</v>
      </c>
      <c r="F66" s="274">
        <f t="shared" si="5"/>
        <v>10100</v>
      </c>
      <c r="G66" s="33">
        <f t="shared" ref="G66" si="45">CEILING(C66+D66+F66,100)</f>
        <v>12100</v>
      </c>
      <c r="H66" s="33">
        <f t="shared" ref="H66" si="46">G66-6000</f>
        <v>6100</v>
      </c>
      <c r="I66" s="34">
        <f t="shared" ref="I66" si="47">G66*(1+$M$4)</f>
        <v>12100</v>
      </c>
      <c r="J66" s="34">
        <f t="shared" ref="J66" si="48">H66*(1+$M$4)</f>
        <v>6100</v>
      </c>
      <c r="K66" s="1"/>
      <c r="L66" s="176">
        <f t="shared" si="6"/>
        <v>2746.496815286624</v>
      </c>
    </row>
    <row r="67" spans="1:13" x14ac:dyDescent="0.25">
      <c r="A67" s="36" t="s">
        <v>169</v>
      </c>
      <c r="B67" s="52">
        <v>14.331210191082802</v>
      </c>
      <c r="C67" s="60">
        <f t="shared" si="23"/>
        <v>1003.1847133757962</v>
      </c>
      <c r="D67" s="302">
        <v>1000</v>
      </c>
      <c r="E67" s="276">
        <v>0.01</v>
      </c>
      <c r="F67" s="274">
        <f t="shared" si="5"/>
        <v>10100</v>
      </c>
      <c r="G67" s="33">
        <f t="shared" si="29"/>
        <v>12200</v>
      </c>
      <c r="H67" s="33">
        <f t="shared" si="30"/>
        <v>6200</v>
      </c>
      <c r="I67" s="34">
        <f t="shared" si="31"/>
        <v>12200</v>
      </c>
      <c r="J67" s="34">
        <f t="shared" si="32"/>
        <v>6200</v>
      </c>
      <c r="K67" s="1">
        <v>58</v>
      </c>
      <c r="L67" s="176">
        <f t="shared" si="6"/>
        <v>2808.9171974522292</v>
      </c>
      <c r="M67" s="52"/>
    </row>
    <row r="68" spans="1:13" x14ac:dyDescent="0.25">
      <c r="A68" s="37" t="s">
        <v>170</v>
      </c>
      <c r="B68" s="52">
        <v>7.9617834394904454</v>
      </c>
      <c r="C68" s="60">
        <f t="shared" si="23"/>
        <v>557.32484076433116</v>
      </c>
      <c r="D68" s="302">
        <v>1000</v>
      </c>
      <c r="E68" s="276">
        <v>0.01</v>
      </c>
      <c r="F68" s="274">
        <f t="shared" ref="F68" si="49">CEILING((C68+D68)*E68,100)+10000</f>
        <v>10100</v>
      </c>
      <c r="G68" s="33">
        <f t="shared" si="29"/>
        <v>11700</v>
      </c>
      <c r="H68" s="33">
        <f t="shared" si="30"/>
        <v>5700</v>
      </c>
      <c r="I68" s="34">
        <f t="shared" si="31"/>
        <v>11700</v>
      </c>
      <c r="J68" s="34">
        <f t="shared" si="32"/>
        <v>5700</v>
      </c>
      <c r="K68" s="1">
        <v>59</v>
      </c>
      <c r="L68" s="176">
        <f t="shared" ref="L68" si="50">C68*2.8</f>
        <v>1560.5095541401272</v>
      </c>
      <c r="M68" s="52"/>
    </row>
    <row r="69" spans="1:13" x14ac:dyDescent="0.25">
      <c r="M69" s="52"/>
    </row>
    <row r="70" spans="1:13" x14ac:dyDescent="0.25">
      <c r="M70" s="52"/>
    </row>
    <row r="71" spans="1:13" x14ac:dyDescent="0.25">
      <c r="M71" s="52"/>
    </row>
    <row r="72" spans="1:13" x14ac:dyDescent="0.25">
      <c r="M72" s="52"/>
    </row>
    <row r="73" spans="1:13" x14ac:dyDescent="0.25">
      <c r="M73" s="52"/>
    </row>
    <row r="74" spans="1:13" x14ac:dyDescent="0.25">
      <c r="M74" s="52"/>
    </row>
    <row r="75" spans="1:13" x14ac:dyDescent="0.25">
      <c r="M75" s="52"/>
    </row>
    <row r="76" spans="1:13" x14ac:dyDescent="0.25">
      <c r="M76" s="52"/>
    </row>
    <row r="77" spans="1:13" x14ac:dyDescent="0.25">
      <c r="M77" s="52"/>
    </row>
    <row r="78" spans="1:13" x14ac:dyDescent="0.25">
      <c r="M78" s="52"/>
    </row>
    <row r="79" spans="1:13" x14ac:dyDescent="0.25">
      <c r="M79" s="52"/>
    </row>
    <row r="80" spans="1:13" x14ac:dyDescent="0.25">
      <c r="M80" s="52"/>
    </row>
    <row r="81" spans="13:13" x14ac:dyDescent="0.25">
      <c r="M81" s="52"/>
    </row>
    <row r="82" spans="13:13" x14ac:dyDescent="0.25">
      <c r="M82" s="52"/>
    </row>
    <row r="83" spans="13:13" x14ac:dyDescent="0.25">
      <c r="M83" s="52"/>
    </row>
    <row r="84" spans="13:13" x14ac:dyDescent="0.25">
      <c r="M84" s="52"/>
    </row>
    <row r="85" spans="13:13" x14ac:dyDescent="0.25">
      <c r="M85" s="52"/>
    </row>
    <row r="86" spans="13:13" x14ac:dyDescent="0.25">
      <c r="M86" s="52"/>
    </row>
    <row r="87" spans="13:13" x14ac:dyDescent="0.25">
      <c r="M87" s="52"/>
    </row>
    <row r="88" spans="13:13" x14ac:dyDescent="0.25">
      <c r="M88" s="52"/>
    </row>
    <row r="89" spans="13:13" x14ac:dyDescent="0.25">
      <c r="M89" s="52"/>
    </row>
    <row r="90" spans="13:13" x14ac:dyDescent="0.25">
      <c r="M90" s="52"/>
    </row>
    <row r="91" spans="13:13" x14ac:dyDescent="0.25">
      <c r="M91" s="52"/>
    </row>
    <row r="92" spans="13:13" x14ac:dyDescent="0.25">
      <c r="M92" s="52"/>
    </row>
    <row r="93" spans="13:13" x14ac:dyDescent="0.25">
      <c r="M93" s="52"/>
    </row>
    <row r="94" spans="13:13" x14ac:dyDescent="0.25">
      <c r="M94" s="52"/>
    </row>
    <row r="95" spans="13:13" x14ac:dyDescent="0.25">
      <c r="M95" s="52"/>
    </row>
    <row r="96" spans="13:13" x14ac:dyDescent="0.25">
      <c r="M96" s="52"/>
    </row>
    <row r="97" spans="13:13" x14ac:dyDescent="0.25">
      <c r="M97" s="52"/>
    </row>
    <row r="98" spans="13:13" x14ac:dyDescent="0.25">
      <c r="M98" s="52"/>
    </row>
    <row r="99" spans="13:13" x14ac:dyDescent="0.25">
      <c r="M99" s="52"/>
    </row>
    <row r="100" spans="13:13" x14ac:dyDescent="0.25">
      <c r="M100" s="52"/>
    </row>
    <row r="101" spans="13:13" x14ac:dyDescent="0.25">
      <c r="M101" s="52"/>
    </row>
    <row r="102" spans="13:13" x14ac:dyDescent="0.25">
      <c r="M102" s="52"/>
    </row>
    <row r="103" spans="13:13" x14ac:dyDescent="0.25">
      <c r="M103" s="52"/>
    </row>
    <row r="104" spans="13:13" x14ac:dyDescent="0.25">
      <c r="M104" s="52"/>
    </row>
    <row r="105" spans="13:13" x14ac:dyDescent="0.25">
      <c r="M105" s="52"/>
    </row>
    <row r="106" spans="13:13" x14ac:dyDescent="0.25">
      <c r="M106" s="52"/>
    </row>
    <row r="107" spans="13:13" x14ac:dyDescent="0.25">
      <c r="M107" s="52"/>
    </row>
    <row r="108" spans="13:13" x14ac:dyDescent="0.25">
      <c r="M108" s="52"/>
    </row>
    <row r="109" spans="13:13" x14ac:dyDescent="0.25">
      <c r="M109" s="52"/>
    </row>
    <row r="110" spans="13:13" x14ac:dyDescent="0.25">
      <c r="M110" s="52"/>
    </row>
    <row r="111" spans="13:13" x14ac:dyDescent="0.25">
      <c r="M111" s="52"/>
    </row>
    <row r="112" spans="13:13" x14ac:dyDescent="0.25">
      <c r="M112" s="52"/>
    </row>
    <row r="113" spans="13:13" x14ac:dyDescent="0.25">
      <c r="M113" s="52"/>
    </row>
    <row r="114" spans="13:13" x14ac:dyDescent="0.25">
      <c r="M114" s="52"/>
    </row>
    <row r="115" spans="13:13" x14ac:dyDescent="0.25">
      <c r="M115" s="52"/>
    </row>
    <row r="116" spans="13:13" x14ac:dyDescent="0.25">
      <c r="M116" s="52"/>
    </row>
    <row r="117" spans="13:13" x14ac:dyDescent="0.25">
      <c r="M117" s="52"/>
    </row>
    <row r="118" spans="13:13" x14ac:dyDescent="0.25">
      <c r="M118" s="52"/>
    </row>
    <row r="119" spans="13:13" x14ac:dyDescent="0.25">
      <c r="M119" s="52"/>
    </row>
    <row r="120" spans="13:13" x14ac:dyDescent="0.25">
      <c r="M120" s="52"/>
    </row>
    <row r="121" spans="13:13" x14ac:dyDescent="0.25">
      <c r="M121" s="52"/>
    </row>
    <row r="122" spans="13:13" x14ac:dyDescent="0.25">
      <c r="M122" s="52"/>
    </row>
    <row r="123" spans="13:13" x14ac:dyDescent="0.25">
      <c r="M123" s="52"/>
    </row>
    <row r="124" spans="13:13" x14ac:dyDescent="0.25">
      <c r="M124" s="52"/>
    </row>
    <row r="125" spans="13:13" x14ac:dyDescent="0.25">
      <c r="M125" s="52"/>
    </row>
    <row r="126" spans="13:13" x14ac:dyDescent="0.25">
      <c r="M126" s="52"/>
    </row>
    <row r="127" spans="13:13" x14ac:dyDescent="0.25">
      <c r="M127" s="52"/>
    </row>
    <row r="128" spans="13:13" x14ac:dyDescent="0.25">
      <c r="M128" s="52"/>
    </row>
    <row r="129" spans="13:13" x14ac:dyDescent="0.25">
      <c r="M129" s="52"/>
    </row>
    <row r="130" spans="13:13" x14ac:dyDescent="0.25">
      <c r="M130" s="52"/>
    </row>
    <row r="131" spans="13:13" x14ac:dyDescent="0.25">
      <c r="M131" s="52"/>
    </row>
    <row r="132" spans="13:13" x14ac:dyDescent="0.25">
      <c r="M132" s="52"/>
    </row>
    <row r="133" spans="13:13" x14ac:dyDescent="0.25">
      <c r="M133" s="52"/>
    </row>
    <row r="134" spans="13:13" x14ac:dyDescent="0.25">
      <c r="M134" s="52"/>
    </row>
    <row r="135" spans="13:13" x14ac:dyDescent="0.25">
      <c r="M135" s="52"/>
    </row>
    <row r="136" spans="13:13" x14ac:dyDescent="0.25">
      <c r="M136" s="52"/>
    </row>
    <row r="137" spans="13:13" x14ac:dyDescent="0.25">
      <c r="M137" s="52"/>
    </row>
    <row r="138" spans="13:13" x14ac:dyDescent="0.25">
      <c r="M138" s="52"/>
    </row>
    <row r="139" spans="13:13" x14ac:dyDescent="0.25">
      <c r="M139" s="52"/>
    </row>
    <row r="140" spans="13:13" x14ac:dyDescent="0.25">
      <c r="M140" s="52"/>
    </row>
    <row r="141" spans="13:13" x14ac:dyDescent="0.25">
      <c r="M141" s="52"/>
    </row>
    <row r="142" spans="13:13" x14ac:dyDescent="0.25">
      <c r="M142" s="52"/>
    </row>
    <row r="143" spans="13:13" x14ac:dyDescent="0.25">
      <c r="M143" s="52"/>
    </row>
    <row r="144" spans="13:13" x14ac:dyDescent="0.25">
      <c r="M144" s="52"/>
    </row>
    <row r="145" spans="13:13" x14ac:dyDescent="0.25">
      <c r="M145" s="52"/>
    </row>
    <row r="146" spans="13:13" x14ac:dyDescent="0.25">
      <c r="M146" s="52"/>
    </row>
    <row r="147" spans="13:13" x14ac:dyDescent="0.25">
      <c r="M147" s="52"/>
    </row>
    <row r="148" spans="13:13" x14ac:dyDescent="0.25">
      <c r="M148" s="52"/>
    </row>
    <row r="149" spans="13:13" x14ac:dyDescent="0.25">
      <c r="M149" s="52"/>
    </row>
    <row r="150" spans="13:13" x14ac:dyDescent="0.25">
      <c r="M150" s="52"/>
    </row>
    <row r="151" spans="13:13" x14ac:dyDescent="0.25">
      <c r="M151" s="52"/>
    </row>
    <row r="152" spans="13:13" x14ac:dyDescent="0.25">
      <c r="M152" s="52"/>
    </row>
    <row r="153" spans="13:13" x14ac:dyDescent="0.25">
      <c r="M153" s="52"/>
    </row>
    <row r="154" spans="13:13" x14ac:dyDescent="0.25">
      <c r="M154" s="52"/>
    </row>
  </sheetData>
  <sortState ref="A32:L38">
    <sortCondition ref="C32:C38"/>
  </sortState>
  <mergeCells count="5">
    <mergeCell ref="A1:A2"/>
    <mergeCell ref="B1:H1"/>
    <mergeCell ref="I1:J1"/>
    <mergeCell ref="M3:N3"/>
    <mergeCell ref="M8:N8"/>
  </mergeCells>
  <pageMargins left="0.31496062992125984" right="0.31496062992125984" top="0.74803149606299213" bottom="0.74803149606299213" header="0.31496062992125984" footer="0.31496062992125984"/>
  <pageSetup paperSize="9" scale="60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15</vt:i4>
      </vt:variant>
    </vt:vector>
  </HeadingPairs>
  <TitlesOfParts>
    <vt:vector size="27" baseType="lpstr">
      <vt:lpstr>Калькулятор</vt:lpstr>
      <vt:lpstr>Наряд-заказ</vt:lpstr>
      <vt:lpstr>setup</vt:lpstr>
      <vt:lpstr>Калькулятор себестоимость</vt:lpstr>
      <vt:lpstr>sys</vt:lpstr>
      <vt:lpstr>себ.</vt:lpstr>
      <vt:lpstr>цены</vt:lpstr>
      <vt:lpstr>списки</vt:lpstr>
      <vt:lpstr>мойки себестоимость</vt:lpstr>
      <vt:lpstr>мойки для партнеров</vt:lpstr>
      <vt:lpstr>мойки с накруткой</vt:lpstr>
      <vt:lpstr>Материал</vt:lpstr>
      <vt:lpstr>Материал!rates</vt:lpstr>
      <vt:lpstr>Бортик</vt:lpstr>
      <vt:lpstr>Вырез_под_мойку</vt:lpstr>
      <vt:lpstr>Кромка</vt:lpstr>
      <vt:lpstr>Материал</vt:lpstr>
      <vt:lpstr>'мойки для партнеров'!Мойки</vt:lpstr>
      <vt:lpstr>Мойки</vt:lpstr>
      <vt:lpstr>Калькулятор!Область_печати</vt:lpstr>
      <vt:lpstr>'Калькулятор себестоимость'!Область_печати</vt:lpstr>
      <vt:lpstr>Материал!Область_печати</vt:lpstr>
      <vt:lpstr>'Наряд-заказ'!Область_печати</vt:lpstr>
      <vt:lpstr>себ.!Область_печати</vt:lpstr>
      <vt:lpstr>Подгиб</vt:lpstr>
      <vt:lpstr>Список_материалов</vt:lpstr>
      <vt:lpstr>Тип_кромки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2016-07-26T20:35:47Z</dcterms:modified>
</cp:coreProperties>
</file>